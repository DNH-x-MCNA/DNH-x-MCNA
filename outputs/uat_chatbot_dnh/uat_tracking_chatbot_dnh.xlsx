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a5bc5c555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hợp" sheetId="1" r:id="Rc5e90ad0833b4e88"/>
    <x:sheet xmlns:r="http://schemas.openxmlformats.org/officeDocument/2006/relationships" name="Checklist UAT" sheetId="2" r:id="R420e7df8aad14954"/>
    <x:sheet xmlns:r="http://schemas.openxmlformats.org/officeDocument/2006/relationships" name="Hướng dẫn" sheetId="3" r:id="Rb106ddc774d44bf2"/>
    <x:sheet xmlns:r="http://schemas.openxmlformats.org/officeDocument/2006/relationships" name="Danh mục" sheetId="4" r:id="Rae4be034abd84a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0.0"/>
    <x:numFmt numFmtId="203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1F2937"/>
      <x:name val="Carlito"/>
    </x:font>
    <x:font>
      <x:b/>
      <x:sz val="12"/>
      <x:color rgb="FF1F29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BE6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200" fontId="3" fillId="4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center" wrapText="1"/>
    </x:xf>
    <x:xf numFmtId="0" fontId="0" fillId="9" borderId="9" xfId="0" applyNumberFormat="1" applyFont="1" applyFill="1" applyBorder="1" applyAlignment="1">
      <x:alignment vertical="center" wrapText="1"/>
    </x:xf>
    <x:xf numFmtId="0" fontId="0" fillId="9" borderId="6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201" fontId="0" fillId="10" borderId="0" xfId="0" applyNumberFormat="1" applyFont="1" applyFill="1" applyBorder="1" applyAlignment="1">
      <x:alignment vertical="top" wrapText="1"/>
    </x:xf>
    <x:xf numFmtId="200" fontId="0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/>
    </x:xf>
    <x:xf numFmtId="202" fontId="0" fillId="10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 applyAlignment="1">
      <x:alignment horizontal="center" vertical="top"/>
    </x:xf>
    <x:xf numFmtId="202" fontId="0" fillId="10" borderId="0" xfId="0" applyNumberFormat="1" applyFont="1" applyFill="1" applyBorder="1" applyAlignment="1">
      <x:alignment horizontal="center" vertical="top"/>
    </x:xf>
    <x:xf numFmtId="0" fontId="0" fillId="6" borderId="0" xfId="0" applyNumberFormat="1" applyFont="1" applyFill="1" applyBorder="1" applyAlignment="1">
      <x:alignment horizontal="center" vertical="top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right"/>
    </x:xf>
    <x:xf numFmtId="0" fontId="2" fillId="3" borderId="1" xfId="0" applyNumberFormat="1" applyFont="1" applyFill="1" applyBorder="1"/>
    <x:xf numFmtId="0" fontId="7" fillId="4" borderId="2" xfId="0" applyNumberFormat="1" applyFont="1" applyFill="1" applyBorder="1" applyAlignment="1">
      <x:alignment horizontal="right"/>
    </x:xf>
    <x:xf numFmtId="0" fontId="2" fillId="3" borderId="3" xfId="0" applyNumberFormat="1" applyFont="1" applyFill="1" applyBorder="1"/>
    <x:xf numFmtId="0" fontId="7" fillId="4" borderId="4" xfId="0" applyNumberFormat="1" applyFont="1" applyFill="1" applyBorder="1" applyAlignment="1">
      <x:alignment horizontal="right"/>
    </x:xf>
    <x:xf numFmtId="0" fontId="2" fillId="3" borderId="5" xfId="0" applyNumberFormat="1" applyFont="1" applyFill="1" applyBorder="1"/>
    <x:xf numFmtId="0" fontId="7" fillId="4" borderId="6" xfId="0" applyNumberFormat="1" applyFont="1" applyFill="1" applyBorder="1" applyAlignment="1">
      <x:alignment horizontal="right"/>
    </x:xf>
    <x:xf numFmtId="203" fontId="7" fillId="4" borderId="4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a8bf1c7c64ae9" /><Relationship Type="http://schemas.openxmlformats.org/officeDocument/2006/relationships/theme" Target="/xl/theme/theme1.xml" Id="Rcf1baab72b024cbc" /><Relationship Type="http://schemas.openxmlformats.org/officeDocument/2006/relationships/sharedStrings" Target="/xl/sharedStrings.xml" Id="R452b3848233940d5" /><Relationship Type="http://schemas.openxmlformats.org/officeDocument/2006/relationships/worksheet" Target="/xl/worksheets/sheet1.xml" Id="Rc5e90ad0833b4e88" /><Relationship Type="http://schemas.openxmlformats.org/officeDocument/2006/relationships/worksheet" Target="/xl/worksheets/sheet2.xml" Id="R420e7df8aad14954" /><Relationship Type="http://schemas.openxmlformats.org/officeDocument/2006/relationships/worksheet" Target="/xl/worksheets/sheet3.xml" Id="Rb106ddc774d44bf2" /><Relationship Type="http://schemas.openxmlformats.org/officeDocument/2006/relationships/worksheet" Target="/xl/worksheets/sheet4.xml" Id="Rae4be034abd84af8" /><Relationship Type="http://schemas.microsoft.com/office/2017/10/relationships/person" Target="/xl/persons/person.xml" Id="R4db9887598854059" /></Relationships>
</file>

<file path=xl/persons/person.xml><?xml version="1.0" encoding="utf-8"?>
<xltc:personList xmlns:xltc="http://schemas.microsoft.com/office/spreadsheetml/2018/threadedcomments">
  <xltc:person displayName="DNH UAT" id="{E95B319D-7E76-4B85-9F5E-2BC56B7FA701}"/>
</xltc:personList>
</file>

<file path=xl/tables/table1.xml><?xml version="1.0" encoding="utf-8"?>
<x:table xmlns:x="http://schemas.openxmlformats.org/spreadsheetml/2006/main" id="1" name="UATChecklistTable" displayName="UATChecklistTable" ref="A4:X142" headerRowCount="1" totalsRowCount="0" totalsRowShown="0">
  <x:autoFilter ref="A4:X142"/>
  <x:tableColumns count="24">
    <x:tableColumn id="1" name="STT"/>
    <x:tableColumn id="2" name="Mã câu"/>
    <x:tableColumn id="3" name="Cấp kiểm thử"/>
    <x:tableColumn id="4" name="Câu hỏi"/>
    <x:tableColumn id="5" name="Checker"/>
    <x:tableColumn id="6" name="Mức sẵn sàng"/>
    <x:tableColumn id="7" name="Phạm vi test"/>
    <x:tableColumn id="8" name="Tài khoản test"/>
    <x:tableColumn id="9" name="Ngày giờ test"/>
    <x:tableColumn id="10" name="Ngày chốt dữ liệu"/>
    <x:tableColumn id="11" name="Kết quả mong đợi"/>
    <x:tableColumn id="12" name="Kết quả chatbot"/>
    <x:tableColumn id="13" name="Đúng số liệu"/>
    <x:tableColumn id="14" name="Đúng phân quyền"/>
    <x:tableColumn id="15" name="Dễ hiểu"/>
    <x:tableColumn id="16" name="Phản hồi (giây)"/>
    <x:tableColumn id="17" name="Kết quả chung"/>
    <x:tableColumn id="18" name="Mức độ lỗi"/>
    <x:tableColumn id="19" name="Nguyên nhân"/>
    <x:tableColumn id="20" name="Người xử lý"/>
    <x:tableColumn id="21" name="Deadline"/>
    <x:tableColumn id="22" name="Trạng thái xử lý"/>
    <x:tableColumn id="23" name="Bằng chứng"/>
    <x:tableColumn id="24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c10cecdca14a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4" hidden="0" customWidth="1"/>
    <x:col min="4" max="4" width="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3" t="str">
        <x:v>TỔNG HỢP TIẾN ĐỘ UAT CHATBOT</x:v>
      </x:c>
      <x:c r="B1" s="3"/>
      <x:c r="C1" s="3"/>
      <x:c r="D1" s="3"/>
      <x:c r="E1" s="3"/>
      <x:c r="F1" s="3"/>
      <x:c r="G1" s="3"/>
      <x:c r="H1" s="3"/>
    </x:row>
    <x:row r="3">
      <x:c r="A3" s="93" t="str">
        <x:v>Tổng câu trong checklist</x:v>
      </x:c>
      <x:c r="B3" s="94" t="n">
        <x:f>COUNTA('Checklist UAT'!B5:B142)</x:f>
        <x:v>138</x:v>
      </x:c>
      <x:c r="D3" s="18" t="str">
        <x:v>Điều kiện đề xuất trước UAT chính thức</x:v>
      </x:c>
      <x:c r="E3" s="18"/>
      <x:c r="F3" s="18"/>
      <x:c r="G3" s="18"/>
      <x:c r="H3" s="18"/>
    </x:row>
    <x:row r="4">
      <x:c r="A4" s="95" t="str">
        <x:v>Đã chấm xong</x:v>
      </x:c>
      <x:c r="B4" s="96" t="n">
        <x:f>COUNTIF('Checklist UAT'!Q5:Q142,"Đạt")+COUNTIF('Checklist UAT'!Q5:Q142,"Không đạt")</x:f>
        <x:v>0</x:v>
      </x:c>
      <x:c r="D4" s="102" t="str">
        <x:v>1</x:v>
      </x:c>
      <x:c r="E4" s="103" t="str">
        <x:v>MCNA hoàn tất tự test</x:v>
      </x:c>
      <x:c r="F4" s="103" t="str"/>
      <x:c r="G4" s="103" t="str"/>
      <x:c r="H4" s="104" t="str"/>
    </x:row>
    <x:row r="5">
      <x:c r="A5" s="95" t="str">
        <x:v>Đạt</x:v>
      </x:c>
      <x:c r="B5" s="96" t="n">
        <x:f>COUNTIF('Checklist UAT'!Q5:Q142,"Đạt")</x:f>
        <x:v>0</x:v>
      </x:c>
      <x:c r="D5" s="105" t="str">
        <x:v>2</x:v>
      </x:c>
      <x:c r="E5" s="106" t="str">
        <x:v>Không còn lỗi Critical/High chưa xử lý</x:v>
      </x:c>
      <x:c r="F5" s="106" t="str"/>
      <x:c r="G5" s="106" t="str"/>
      <x:c r="H5" s="107" t="str"/>
    </x:row>
    <x:row r="6">
      <x:c r="A6" s="95" t="str">
        <x:v>Không đạt</x:v>
      </x:c>
      <x:c r="B6" s="96" t="n">
        <x:f>COUNTIF('Checklist UAT'!Q5:Q142,"Không đạt")</x:f>
        <x:v>0</x:v>
      </x:c>
      <x:c r="D6" s="105" t="str">
        <x:v>3</x:v>
      </x:c>
      <x:c r="E6" s="106" t="str">
        <x:v>DNH xác nhận công thức cho nhóm DERIVED/PARTIAL</x:v>
      </x:c>
      <x:c r="F6" s="106" t="str"/>
      <x:c r="G6" s="106" t="str"/>
      <x:c r="H6" s="107" t="str"/>
    </x:row>
    <x:row r="7">
      <x:c r="A7" s="95" t="str">
        <x:v>Độ chính xác</x:v>
      </x:c>
      <x:c r="B7" s="99" t="n">
        <x:f>IFERROR(B5/B4,0)</x:f>
        <x:v>0</x:v>
      </x:c>
      <x:c r="D7" s="105" t="str">
        <x:v>4</x:v>
      </x:c>
      <x:c r="E7" s="106" t="str">
        <x:v>Độ chính xác trên test hợp lệ &gt;95%</x:v>
      </x:c>
      <x:c r="F7" s="106" t="str"/>
      <x:c r="G7" s="106" t="str"/>
      <x:c r="H7" s="107" t="str"/>
    </x:row>
    <x:row r="8">
      <x:c r="A8" s="95" t="str">
        <x:v>Lỗi Critical</x:v>
      </x:c>
      <x:c r="B8" s="96" t="n">
        <x:f>COUNTIFS('Checklist UAT'!Q5:Q142,"Không đạt",'Checklist UAT'!R5:R142,"Critical")</x:f>
        <x:v>0</x:v>
      </x:c>
      <x:c r="D8" s="108" t="str">
        <x:v>5</x:v>
      </x:c>
      <x:c r="E8" s="109" t="str">
        <x:v>Tester DNH retest độc lập và ký xác nhận</x:v>
      </x:c>
      <x:c r="F8" s="109" t="str"/>
      <x:c r="G8" s="109" t="str"/>
      <x:c r="H8" s="110" t="str"/>
    </x:row>
    <x:row r="9">
      <x:c r="A9" s="95" t="str">
        <x:v>Cần DNH chốt/thiếu một phần</x:v>
      </x:c>
      <x:c r="B9" s="96" t="n">
        <x:f>COUNTIF('Checklist UAT'!F5:F142,"Cần DNH chốt công thức")+COUNTIF('Checklist UAT'!F5:F142,"Thiếu một phần dữ liệu")</x:f>
        <x:v>62</x:v>
      </x:c>
    </x:row>
    <x:row r="10">
      <x:c r="A10" s="97" t="str">
        <x:v>Thiếu nguồn/lịch sử</x:v>
      </x:c>
      <x:c r="B10" s="98" t="n">
        <x:f>COUNTIF('Checklist UAT'!F5:F142,"Chưa có nguồn dữ liệu")+COUNTIF('Checklist UAT'!F5:F142,"Chưa đủ lịch sử")</x:f>
        <x:v>11</x:v>
      </x:c>
    </x:row>
  </x:sheetData>
  <x:mergeCells>
    <x:mergeCell ref="A1:H1"/>
    <x:mergeCell ref="D3:H3"/>
    <x:mergeCell ref="E4:H4"/>
    <x:mergeCell ref="E5:H5"/>
    <x:mergeCell ref="E6:H6"/>
    <x:mergeCell ref="E7:H7"/>
    <x:mergeCell ref="E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22" hidden="0" customWidth="1"/>
    <x:col min="4" max="4" width="58" hidden="0" customWidth="1"/>
    <x:col min="5" max="5" width="10" hidden="0" customWidth="1"/>
    <x:col min="6" max="6" width="25" hidden="0" customWidth="1"/>
    <x:col min="7" max="7" width="44" hidden="0" customWidth="1"/>
    <x:col min="8" max="8" width="20" hidden="0" customWidth="1"/>
    <x:col min="9" max="9" width="19" hidden="0" customWidth="1"/>
    <x:col min="10" max="10" width="18" hidden="0" customWidth="1"/>
    <x:col min="11" max="11" width="46" hidden="0" customWidth="1"/>
    <x:col min="12" max="12" width="58" hidden="0" customWidth="1"/>
    <x:col min="13" max="13" width="17" hidden="0" customWidth="1"/>
    <x:col min="14" max="14" width="19" hidden="0" customWidth="1"/>
    <x:col min="15" max="15" width="14" hidden="0" customWidth="1"/>
    <x:col min="16" max="16" width="16" hidden="0" customWidth="1"/>
    <x:col min="17" max="17" width="17" hidden="0" customWidth="1"/>
    <x:col min="18" max="18" width="18" hidden="0" customWidth="1"/>
    <x:col min="19" max="19" width="34" hidden="0" customWidth="1"/>
    <x:col min="20" max="20" width="20" hidden="0" customWidth="1"/>
    <x:col min="21" max="21" width="15" hidden="0" customWidth="1"/>
    <x:col min="22" max="22" width="20" hidden="0" customWidth="1"/>
    <x:col min="23" max="23" width="34" hidden="0" customWidth="1"/>
    <x:col min="24" max="24" width="34" hidden="0" customWidth="1"/>
  </x:cols>
  <x:sheetData>
    <x:row r="1" ht="32" customHeight="1">
      <x:c r="A1" s="63" t="str">
        <x:v>CHECKLIST UAT CHATBOT — 138 CÂU HỎI ĐIỀU HÀNH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</x:row>
    <x:row r="2">
      <x:c r="A2" s="66" t="str">
        <x:v>Ô màu vàng là phần tester nhập. Kết quả chung tự tính từ ba tiêu chí: số liệu, phân quyền và mức dễ hiểu.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  <x:c r="P2" s="66"/>
      <x:c r="Q2" s="66"/>
      <x:c r="R2" s="66"/>
      <x:c r="S2" s="66"/>
      <x:c r="T2" s="66"/>
      <x:c r="U2" s="66"/>
      <x:c r="V2" s="66"/>
      <x:c r="W2" s="66"/>
      <x:c r="X2" s="66"/>
    </x:row>
    <x:row r="4" ht="38" customHeight="1">
      <x:c r="A4" s="72" t="str">
        <x:v>STT</x:v>
      </x:c>
      <x:c r="B4" s="72" t="str">
        <x:v>Mã câu</x:v>
      </x:c>
      <x:c r="C4" s="72" t="str">
        <x:v>Cấp kiểm thử</x:v>
      </x:c>
      <x:c r="D4" s="72" t="str">
        <x:v>Câu hỏi</x:v>
      </x:c>
      <x:c r="E4" s="72" t="str">
        <x:v>Checker</x:v>
      </x:c>
      <x:c r="F4" s="72" t="str">
        <x:v>Mức sẵn sàng</x:v>
      </x:c>
      <x:c r="G4" s="72" t="str">
        <x:v>Phạm vi test</x:v>
      </x:c>
      <x:c r="H4" s="72" t="str">
        <x:v>Tài khoản test</x:v>
      </x:c>
      <x:c r="I4" s="72" t="str">
        <x:v>Ngày giờ test</x:v>
      </x:c>
      <x:c r="J4" s="72" t="str">
        <x:v>Ngày chốt dữ liệu</x:v>
      </x:c>
      <x:c r="K4" s="72" t="str">
        <x:v>Kết quả mong đợi</x:v>
      </x:c>
      <x:c r="L4" s="72" t="str">
        <x:v>Kết quả chatbot</x:v>
      </x:c>
      <x:c r="M4" s="72" t="str">
        <x:v>Đúng số liệu</x:v>
      </x:c>
      <x:c r="N4" s="72" t="str">
        <x:v>Đúng phân quyền</x:v>
      </x:c>
      <x:c r="O4" s="72" t="str">
        <x:v>Dễ hiểu</x:v>
      </x:c>
      <x:c r="P4" s="72" t="str">
        <x:v>Phản hồi (giây)</x:v>
      </x:c>
      <x:c r="Q4" s="72" t="str">
        <x:v>Kết quả chung</x:v>
      </x:c>
      <x:c r="R4" s="72" t="str">
        <x:v>Mức độ lỗi</x:v>
      </x:c>
      <x:c r="S4" s="72" t="str">
        <x:v>Nguyên nhân</x:v>
      </x:c>
      <x:c r="T4" s="72" t="str">
        <x:v>Người xử lý</x:v>
      </x:c>
      <x:c r="U4" s="72" t="str">
        <x:v>Deadline</x:v>
      </x:c>
      <x:c r="V4" s="72" t="str">
        <x:v>Trạng thái xử lý</x:v>
      </x:c>
      <x:c r="W4" s="72" t="str">
        <x:v>Bằng chứng</x:v>
      </x:c>
      <x:c r="X4" s="72" t="str">
        <x:v>Ghi chú</x:v>
      </x:c>
    </x:row>
    <x:row r="5">
      <x:c r="A5" s="86" t="n">
        <x:v>1</x:v>
      </x:c>
      <x:c r="B5" s="86" t="str">
        <x:v>C01</x:v>
      </x:c>
      <x:c r="C5" s="86" t="str">
        <x:v>C-Level</x:v>
      </x:c>
      <x:c r="D5" s="77" t="str">
        <x:v>Doanh thu thuần từng tháng 24 tháng gần nhất của toàn công ty, OTC và ETC là bao nhiêu; MoM, YoY và CAGR/nhịp tăng trưởng thế nào?</x:v>
      </x:c>
      <x:c r="E5" s="87" t="str">
        <x:v>S01</x:v>
      </x:c>
      <x:c r="F5" s="87" t="str">
        <x:v>Đủ nguồn</x:v>
      </x:c>
      <x:c r="G5" s="77" t="str">
        <x:v>Đối chiếu số liệu, diễn giải và phân quyền</x:v>
      </x:c>
      <x:c r="H5" s="80" t="str"/>
      <x:c r="I5" s="81"/>
      <x:c r="J5" s="82" t="n">
        <x:v>46265</x:v>
      </x:c>
      <x:c r="K5" s="80" t="str">
        <x:v>Đối chiếu file kết quả theo câu C01, checker S01.</x:v>
      </x:c>
      <x:c r="L5" s="80" t="str"/>
      <x:c r="M5" s="88" t="str">
        <x:v>Chưa chấm</x:v>
      </x:c>
      <x:c r="N5" s="88" t="str">
        <x:v>Chưa chấm</x:v>
      </x:c>
      <x:c r="O5" s="88" t="str">
        <x:v>Chưa chấm</x:v>
      </x:c>
      <x:c r="P5" s="89"/>
      <x:c r="Q5" s="90" t="str">
        <x:f>IF(AND(M5="Chưa chấm",N5="Chưa chấm",O5="Chưa chấm"),"Chưa test",IF(OR(M5="Không đạt",N5="Không đạt",O5="Không đạt"),"Không đạt",IF(AND(OR(M5="Đạt",M5="Không áp dụng"),OR(N5="Đạt",N5="Không áp dụng"),OR(O5="Đạt",O5="Không áp dụng")),"Đạt","Đang test")))</x:f>
        <x:v>Chưa test</x:v>
      </x:c>
      <x:c r="R5" s="88" t="str">
        <x:v>Chưa phân loại</x:v>
      </x:c>
      <x:c r="S5" s="80" t="str"/>
      <x:c r="T5" s="80" t="str"/>
      <x:c r="U5" s="82"/>
      <x:c r="V5" s="80" t="str">
        <x:v>Mới</x:v>
      </x:c>
      <x:c r="W5" s="80" t="str"/>
      <x:c r="X5" s="80" t="str"/>
    </x:row>
    <x:row r="6">
      <x:c r="A6" s="86" t="n">
        <x:v>2</x:v>
      </x:c>
      <x:c r="B6" s="86" t="str">
        <x:v>C02</x:v>
      </x:c>
      <x:c r="C6" s="86" t="str">
        <x:v>C-Level</x:v>
      </x:c>
      <x:c r="D6" s="77" t="str">
        <x:v>Mỗi tháng đạt bao nhiêu phần trăm kế hoạch; thiếu/vượt bao nhiêu tiền theo toàn công ty, kênh và miền?</x:v>
      </x:c>
      <x:c r="E6" s="87" t="str">
        <x:v>S02</x:v>
      </x:c>
      <x:c r="F6" s="87" t="str">
        <x:v>Thiếu một phần dữ liệu</x:v>
      </x:c>
      <x:c r="G6" s="77" t="str">
        <x:v>Kiểm phần có dữ liệu; phần thiếu phải được thông báo rõ</x:v>
      </x:c>
      <x:c r="H6" s="80" t="str"/>
      <x:c r="I6" s="81"/>
      <x:c r="J6" s="82" t="n">
        <x:v>46265</x:v>
      </x:c>
      <x:c r="K6" s="80" t="str">
        <x:v>Đối chiếu file kết quả theo câu C02, checker S02.</x:v>
      </x:c>
      <x:c r="L6" s="80" t="str"/>
      <x:c r="M6" s="88" t="str">
        <x:v>Chưa chấm</x:v>
      </x:c>
      <x:c r="N6" s="88" t="str">
        <x:v>Chưa chấm</x:v>
      </x:c>
      <x:c r="O6" s="88" t="str">
        <x:v>Chưa chấm</x:v>
      </x:c>
      <x:c r="P6" s="89"/>
      <x:c r="Q6" s="90" t="str">
        <x:f>IF(AND(M6="Chưa chấm",N6="Chưa chấm",O6="Chưa chấm"),"Chưa test",IF(OR(M6="Không đạt",N6="Không đạt",O6="Không đạt"),"Không đạt",IF(AND(OR(M6="Đạt",M6="Không áp dụng"),OR(N6="Đạt",N6="Không áp dụng"),OR(O6="Đạt",O6="Không áp dụng")),"Đạt","Đang test")))</x:f>
        <x:v>Chưa test</x:v>
      </x:c>
      <x:c r="R6" s="88" t="str">
        <x:v>Chưa phân loại</x:v>
      </x:c>
      <x:c r="S6" s="80" t="str"/>
      <x:c r="T6" s="80" t="str"/>
      <x:c r="U6" s="82"/>
      <x:c r="V6" s="80" t="str">
        <x:v>Mới</x:v>
      </x:c>
      <x:c r="W6" s="80" t="str"/>
      <x:c r="X6" s="80" t="str"/>
    </x:row>
    <x:row r="7">
      <x:c r="A7" s="86" t="n">
        <x:v>3</x:v>
      </x:c>
      <x:c r="B7" s="86" t="str">
        <x:v>C03</x:v>
      </x:c>
      <x:c r="C7" s="86" t="str">
        <x:v>C-Level</x:v>
      </x:c>
      <x:c r="D7" s="77" t="str">
        <x:v>Lũy kế YTD thực hiện so kế hoạch và cùng kỳ năm trước thế nào; cần bình quân bao nhiêu mỗi tháng còn lại để đạt kế hoạch năm?</x:v>
      </x:c>
      <x:c r="E7" s="87" t="str">
        <x:v>S79</x:v>
      </x:c>
      <x:c r="F7" s="87" t="str">
        <x:v>Thiếu một phần dữ liệu</x:v>
      </x:c>
      <x:c r="G7" s="77" t="str">
        <x:v>Kiểm phần có dữ liệu; phần thiếu phải được thông báo rõ</x:v>
      </x:c>
      <x:c r="H7" s="80" t="str"/>
      <x:c r="I7" s="81"/>
      <x:c r="J7" s="82" t="n">
        <x:v>46265</x:v>
      </x:c>
      <x:c r="K7" s="80" t="str">
        <x:v>Đối chiếu file kết quả theo câu C03, checker S79.</x:v>
      </x:c>
      <x:c r="L7" s="80" t="str"/>
      <x:c r="M7" s="88" t="str">
        <x:v>Chưa chấm</x:v>
      </x:c>
      <x:c r="N7" s="88" t="str">
        <x:v>Chưa chấm</x:v>
      </x:c>
      <x:c r="O7" s="88" t="str">
        <x:v>Chưa chấm</x:v>
      </x:c>
      <x:c r="P7" s="89"/>
      <x:c r="Q7" s="90" t="str">
        <x:f>IF(AND(M7="Chưa chấm",N7="Chưa chấm",O7="Chưa chấm"),"Chưa test",IF(OR(M7="Không đạt",N7="Không đạt",O7="Không đạt"),"Không đạt",IF(AND(OR(M7="Đạt",M7="Không áp dụng"),OR(N7="Đạt",N7="Không áp dụng"),OR(O7="Đạt",O7="Không áp dụng")),"Đạt","Đang test")))</x:f>
        <x:v>Chưa test</x:v>
      </x:c>
      <x:c r="R7" s="88" t="str">
        <x:v>Chưa phân loại</x:v>
      </x:c>
      <x:c r="S7" s="80" t="str"/>
      <x:c r="T7" s="80" t="str"/>
      <x:c r="U7" s="82"/>
      <x:c r="V7" s="80" t="str">
        <x:v>Mới</x:v>
      </x:c>
      <x:c r="W7" s="80" t="str"/>
      <x:c r="X7" s="80" t="str"/>
    </x:row>
    <x:row r="8">
      <x:c r="A8" s="86" t="n">
        <x:v>4</x:v>
      </x:c>
      <x:c r="B8" s="86" t="str">
        <x:v>C04</x:v>
      </x:c>
      <x:c r="C8" s="86" t="str">
        <x:v>C-Level</x:v>
      </x:c>
      <x:c r="D8" s="77" t="str">
        <x:v>Run-rate tháng hiện tại đang hướng tới mức nào; kênh/miền nào tạo rủi ro hụt kế hoạch cuối tháng?</x:v>
      </x:c>
      <x:c r="E8" s="87" t="str">
        <x:v>S03</x:v>
      </x:c>
      <x:c r="F8" s="87" t="str">
        <x:v>Cần DNH chốt công thức</x:v>
      </x:c>
      <x:c r="G8" s="77" t="str">
        <x:v>Kiểm cách trình bày; chưa dùng làm chuẩn số trước khi DNH chốt</x:v>
      </x:c>
      <x:c r="H8" s="80" t="str"/>
      <x:c r="I8" s="81"/>
      <x:c r="J8" s="82" t="n">
        <x:v>46265</x:v>
      </x:c>
      <x:c r="K8" s="80" t="str">
        <x:v>Đối chiếu file kết quả theo câu C04, checker S03.</x:v>
      </x:c>
      <x:c r="L8" s="80" t="str"/>
      <x:c r="M8" s="88" t="str">
        <x:v>Chưa chấm</x:v>
      </x:c>
      <x:c r="N8" s="88" t="str">
        <x:v>Chưa chấm</x:v>
      </x:c>
      <x:c r="O8" s="88" t="str">
        <x:v>Chưa chấm</x:v>
      </x:c>
      <x:c r="P8" s="89"/>
      <x:c r="Q8" s="90" t="str">
        <x:f>IF(AND(M8="Chưa chấm",N8="Chưa chấm",O8="Chưa chấm"),"Chưa test",IF(OR(M8="Không đạt",N8="Không đạt",O8="Không đạt"),"Không đạt",IF(AND(OR(M8="Đạt",M8="Không áp dụng"),OR(N8="Đạt",N8="Không áp dụng"),OR(O8="Đạt",O8="Không áp dụng")),"Đạt","Đang test")))</x:f>
        <x:v>Chưa test</x:v>
      </x:c>
      <x:c r="R8" s="88" t="str">
        <x:v>Chưa phân loại</x:v>
      </x:c>
      <x:c r="S8" s="80" t="str"/>
      <x:c r="T8" s="80" t="str"/>
      <x:c r="U8" s="82"/>
      <x:c r="V8" s="80" t="str">
        <x:v>Mới</x:v>
      </x:c>
      <x:c r="W8" s="80" t="str"/>
      <x:c r="X8" s="80" t="str"/>
    </x:row>
    <x:row r="9">
      <x:c r="A9" s="86" t="n">
        <x:v>5</x:v>
      </x:c>
      <x:c r="B9" s="86" t="str">
        <x:v>C05</x:v>
      </x:c>
      <x:c r="C9" s="86" t="str">
        <x:v>C-Level</x:v>
      </x:c>
      <x:c r="D9" s="77" t="str">
        <x:v>Tăng/giảm doanh thu tháng này so tháng trước và cùng kỳ đến từ kênh, miền, vùng nào; mỗi đơn vị đóng góp bao nhiêu vào biến động chung?</x:v>
      </x:c>
      <x:c r="E9" s="87" t="str">
        <x:v>S04</x:v>
      </x:c>
      <x:c r="F9" s="87" t="str">
        <x:v>Cần DNH chốt công thức</x:v>
      </x:c>
      <x:c r="G9" s="77" t="str">
        <x:v>Kiểm cách trình bày; chưa dùng làm chuẩn số trước khi DNH chốt</x:v>
      </x:c>
      <x:c r="H9" s="80" t="str"/>
      <x:c r="I9" s="81"/>
      <x:c r="J9" s="82" t="n">
        <x:v>46265</x:v>
      </x:c>
      <x:c r="K9" s="80" t="str">
        <x:v>Đối chiếu file kết quả theo câu C05, checker S04.</x:v>
      </x:c>
      <x:c r="L9" s="80" t="str"/>
      <x:c r="M9" s="88" t="str">
        <x:v>Chưa chấm</x:v>
      </x:c>
      <x:c r="N9" s="88" t="str">
        <x:v>Chưa chấm</x:v>
      </x:c>
      <x:c r="O9" s="88" t="str">
        <x:v>Chưa chấm</x:v>
      </x:c>
      <x:c r="P9" s="89"/>
      <x:c r="Q9" s="90" t="str">
        <x:f>IF(AND(M9="Chưa chấm",N9="Chưa chấm",O9="Chưa chấm"),"Chưa test",IF(OR(M9="Không đạt",N9="Không đạt",O9="Không đạt"),"Không đạt",IF(AND(OR(M9="Đạt",M9="Không áp dụng"),OR(N9="Đạt",N9="Không áp dụng"),OR(O9="Đạt",O9="Không áp dụng")),"Đạt","Đang test")))</x:f>
        <x:v>Chưa test</x:v>
      </x:c>
      <x:c r="R9" s="88" t="str">
        <x:v>Chưa phân loại</x:v>
      </x:c>
      <x:c r="S9" s="80" t="str"/>
      <x:c r="T9" s="80" t="str"/>
      <x:c r="U9" s="82"/>
      <x:c r="V9" s="80" t="str">
        <x:v>Mới</x:v>
      </x:c>
      <x:c r="W9" s="80" t="str"/>
      <x:c r="X9" s="80" t="str"/>
    </x:row>
    <x:row r="10">
      <x:c r="A10" s="86" t="n">
        <x:v>6</x:v>
      </x:c>
      <x:c r="B10" s="86" t="str">
        <x:v>C06</x:v>
      </x:c>
      <x:c r="C10" s="86" t="str">
        <x:v>C-Level</x:v>
      </x:c>
      <x:c r="D10" s="77" t="str">
        <x:v>Biến động doanh thu được giải thích bao nhiêu bởi số đơn, số khách mua, tần suất mua, sản lượng, giá bán và cơ cấu sản phẩm?</x:v>
      </x:c>
      <x:c r="E10" s="87" t="str">
        <x:v>S05</x:v>
      </x:c>
      <x:c r="F10" s="87" t="str">
        <x:v>Cần DNH chốt công thức</x:v>
      </x:c>
      <x:c r="G10" s="77" t="str">
        <x:v>Kiểm cách trình bày; chưa dùng làm chuẩn số trước khi DNH chốt</x:v>
      </x:c>
      <x:c r="H10" s="80" t="str"/>
      <x:c r="I10" s="81"/>
      <x:c r="J10" s="82" t="n">
        <x:v>46265</x:v>
      </x:c>
      <x:c r="K10" s="80" t="str">
        <x:v>Đối chiếu file kết quả theo câu C06, checker S05.</x:v>
      </x:c>
      <x:c r="L10" s="80" t="str"/>
      <x:c r="M10" s="88" t="str">
        <x:v>Chưa chấm</x:v>
      </x:c>
      <x:c r="N10" s="88" t="str">
        <x:v>Chưa chấm</x:v>
      </x:c>
      <x:c r="O10" s="88" t="str">
        <x:v>Chưa chấm</x:v>
      </x:c>
      <x:c r="P10" s="89"/>
      <x:c r="Q10" s="90" t="str">
        <x:f>IF(AND(M10="Chưa chấm",N10="Chưa chấm",O10="Chưa chấm"),"Chưa test",IF(OR(M10="Không đạt",N10="Không đạt",O10="Không đạt"),"Không đạt",IF(AND(OR(M10="Đạt",M10="Không áp dụng"),OR(N10="Đạt",N10="Không áp dụng"),OR(O10="Đạt",O10="Không áp dụng")),"Đạt","Đang test")))</x:f>
        <x:v>Chưa test</x:v>
      </x:c>
      <x:c r="R10" s="88" t="str">
        <x:v>Chưa phân loại</x:v>
      </x:c>
      <x:c r="S10" s="80" t="str"/>
      <x:c r="T10" s="80" t="str"/>
      <x:c r="U10" s="82"/>
      <x:c r="V10" s="80" t="str">
        <x:v>Mới</x:v>
      </x:c>
      <x:c r="W10" s="80" t="str"/>
      <x:c r="X10" s="80" t="str"/>
    </x:row>
    <x:row r="11">
      <x:c r="A11" s="86" t="n">
        <x:v>7</x:v>
      </x:c>
      <x:c r="B11" s="86" t="str">
        <x:v>C07</x:v>
      </x:c>
      <x:c r="C11" s="86" t="str">
        <x:v>C-Level</x:v>
      </x:c>
      <x:c r="D11" s="77" t="str">
        <x:v>Trung bình trượt 3 tháng và 6 tháng đang tăng hay giảm; có điểm gãy xu hướng ở tháng nào?</x:v>
      </x:c>
      <x:c r="E11" s="87" t="str">
        <x:v>S06</x:v>
      </x:c>
      <x:c r="F11" s="87" t="str">
        <x:v>Cần DNH chốt công thức</x:v>
      </x:c>
      <x:c r="G11" s="77" t="str">
        <x:v>Kiểm cách trình bày; chưa dùng làm chuẩn số trước khi DNH chốt</x:v>
      </x:c>
      <x:c r="H11" s="80" t="str"/>
      <x:c r="I11" s="81"/>
      <x:c r="J11" s="82" t="n">
        <x:v>46265</x:v>
      </x:c>
      <x:c r="K11" s="80" t="str">
        <x:v>Đối chiếu file kết quả theo câu C07, checker S06.</x:v>
      </x:c>
      <x:c r="L11" s="80" t="str"/>
      <x:c r="M11" s="88" t="str">
        <x:v>Chưa chấm</x:v>
      </x:c>
      <x:c r="N11" s="88" t="str">
        <x:v>Chưa chấm</x:v>
      </x:c>
      <x:c r="O11" s="88" t="str">
        <x:v>Chưa chấm</x:v>
      </x:c>
      <x:c r="P11" s="89"/>
      <x:c r="Q11" s="90" t="str">
        <x:f>IF(AND(M11="Chưa chấm",N11="Chưa chấm",O11="Chưa chấm"),"Chưa test",IF(OR(M11="Không đạt",N11="Không đạt",O11="Không đạt"),"Không đạt",IF(AND(OR(M11="Đạt",M11="Không áp dụng"),OR(N11="Đạt",N11="Không áp dụng"),OR(O11="Đạt",O11="Không áp dụng")),"Đạt","Đang test")))</x:f>
        <x:v>Chưa test</x:v>
      </x:c>
      <x:c r="R11" s="88" t="str">
        <x:v>Chưa phân loại</x:v>
      </x:c>
      <x:c r="S11" s="80" t="str"/>
      <x:c r="T11" s="80" t="str"/>
      <x:c r="U11" s="82"/>
      <x:c r="V11" s="80" t="str">
        <x:v>Mới</x:v>
      </x:c>
      <x:c r="W11" s="80" t="str"/>
      <x:c r="X11" s="80" t="str"/>
    </x:row>
    <x:row r="12">
      <x:c r="A12" s="86" t="n">
        <x:v>8</x:v>
      </x:c>
      <x:c r="B12" s="86" t="str">
        <x:v>C08</x:v>
      </x:c>
      <x:c r="C12" s="86" t="str">
        <x:v>C-Level</x:v>
      </x:c>
      <x:c r="D12" s="77" t="str">
        <x:v>Những tháng có tính mùa vụ cao/thấp nhất theo kênh và nhóm sản phẩm là tháng nào; tháng hiện tại lệch mô hình mùa vụ bao nhiêu?</x:v>
      </x:c>
      <x:c r="E12" s="87" t="str">
        <x:v>S80</x:v>
      </x:c>
      <x:c r="F12" s="87" t="str">
        <x:v>Thiếu một phần dữ liệu</x:v>
      </x:c>
      <x:c r="G12" s="77" t="str">
        <x:v>Kiểm phần có dữ liệu; phần thiếu phải được thông báo rõ</x:v>
      </x:c>
      <x:c r="H12" s="80" t="str"/>
      <x:c r="I12" s="81"/>
      <x:c r="J12" s="82" t="n">
        <x:v>46265</x:v>
      </x:c>
      <x:c r="K12" s="80" t="str">
        <x:v>Đối chiếu file kết quả theo câu C08, checker S80.</x:v>
      </x:c>
      <x:c r="L12" s="80" t="str"/>
      <x:c r="M12" s="88" t="str">
        <x:v>Chưa chấm</x:v>
      </x:c>
      <x:c r="N12" s="88" t="str">
        <x:v>Chưa chấm</x:v>
      </x:c>
      <x:c r="O12" s="88" t="str">
        <x:v>Chưa chấm</x:v>
      </x:c>
      <x:c r="P12" s="89"/>
      <x:c r="Q12" s="90" t="str">
        <x:f>IF(AND(M12="Chưa chấm",N12="Chưa chấm",O12="Chưa chấm"),"Chưa test",IF(OR(M12="Không đạt",N12="Không đạt",O12="Không đạt"),"Không đạt",IF(AND(OR(M12="Đạt",M12="Không áp dụng"),OR(N12="Đạt",N12="Không áp dụng"),OR(O12="Đạt",O12="Không áp dụng")),"Đạt","Đang test")))</x:f>
        <x:v>Chưa test</x:v>
      </x:c>
      <x:c r="R12" s="88" t="str">
        <x:v>Chưa phân loại</x:v>
      </x:c>
      <x:c r="S12" s="80" t="str"/>
      <x:c r="T12" s="80" t="str"/>
      <x:c r="U12" s="82"/>
      <x:c r="V12" s="80" t="str">
        <x:v>Mới</x:v>
      </x:c>
      <x:c r="W12" s="80" t="str"/>
      <x:c r="X12" s="80" t="str"/>
    </x:row>
    <x:row r="13">
      <x:c r="A13" s="86" t="n">
        <x:v>9</x:v>
      </x:c>
      <x:c r="B13" s="86" t="str">
        <x:v>C09</x:v>
      </x:c>
      <x:c r="C13" s="86" t="str">
        <x:v>C-Level</x:v>
      </x:c>
      <x:c r="D13" s="77" t="str">
        <x:v>Giá trị đơn hàng bình quân, số đơn và doanh thu/khách hoạt động thay đổi month-by-month ra sao?</x:v>
      </x:c>
      <x:c r="E13" s="87" t="str">
        <x:v>S07</x:v>
      </x:c>
      <x:c r="F13" s="87" t="str">
        <x:v>Đủ nguồn</x:v>
      </x:c>
      <x:c r="G13" s="77" t="str">
        <x:v>Đối chiếu số liệu, diễn giải và phân quyền</x:v>
      </x:c>
      <x:c r="H13" s="80" t="str"/>
      <x:c r="I13" s="81"/>
      <x:c r="J13" s="82" t="n">
        <x:v>46265</x:v>
      </x:c>
      <x:c r="K13" s="80" t="str">
        <x:v>Đối chiếu file kết quả theo câu C09, checker S07.</x:v>
      </x:c>
      <x:c r="L13" s="80" t="str"/>
      <x:c r="M13" s="88" t="str">
        <x:v>Chưa chấm</x:v>
      </x:c>
      <x:c r="N13" s="88" t="str">
        <x:v>Chưa chấm</x:v>
      </x:c>
      <x:c r="O13" s="88" t="str">
        <x:v>Chưa chấm</x:v>
      </x:c>
      <x:c r="P13" s="89"/>
      <x:c r="Q13" s="90" t="str">
        <x:f>IF(AND(M13="Chưa chấm",N13="Chưa chấm",O13="Chưa chấm"),"Chưa test",IF(OR(M13="Không đạt",N13="Không đạt",O13="Không đạt"),"Không đạt",IF(AND(OR(M13="Đạt",M13="Không áp dụng"),OR(N13="Đạt",N13="Không áp dụng"),OR(O13="Đạt",O13="Không áp dụng")),"Đạt","Đang test")))</x:f>
        <x:v>Chưa test</x:v>
      </x:c>
      <x:c r="R13" s="88" t="str">
        <x:v>Chưa phân loại</x:v>
      </x:c>
      <x:c r="S13" s="80" t="str"/>
      <x:c r="T13" s="80" t="str"/>
      <x:c r="U13" s="82"/>
      <x:c r="V13" s="80" t="str">
        <x:v>Mới</x:v>
      </x:c>
      <x:c r="W13" s="80" t="str"/>
      <x:c r="X13" s="80" t="str"/>
    </x:row>
    <x:row r="14">
      <x:c r="A14" s="86" t="n">
        <x:v>10</x:v>
      </x:c>
      <x:c r="B14" s="86" t="str">
        <x:v>C10</x:v>
      </x:c>
      <x:c r="C14" s="86" t="str">
        <x:v>C-Level</x:v>
      </x:c>
      <x:c r="D14" s="77" t="str">
        <x:v>Tỷ trọng OTC/ETC thay đổi thế nào qua từng tháng; sự thay đổi cơ cấu làm tăng hay giảm tốc độ tăng trưởng chung?</x:v>
      </x:c>
      <x:c r="E14" s="87" t="str">
        <x:v>S08</x:v>
      </x:c>
      <x:c r="F14" s="87" t="str">
        <x:v>Đủ nguồn</x:v>
      </x:c>
      <x:c r="G14" s="77" t="str">
        <x:v>Đối chiếu số liệu, diễn giải và phân quyền</x:v>
      </x:c>
      <x:c r="H14" s="80" t="str"/>
      <x:c r="I14" s="81"/>
      <x:c r="J14" s="82" t="n">
        <x:v>46265</x:v>
      </x:c>
      <x:c r="K14" s="80" t="str">
        <x:v>Đối chiếu file kết quả theo câu C10, checker S08.</x:v>
      </x:c>
      <x:c r="L14" s="80" t="str"/>
      <x:c r="M14" s="88" t="str">
        <x:v>Chưa chấm</x:v>
      </x:c>
      <x:c r="N14" s="88" t="str">
        <x:v>Chưa chấm</x:v>
      </x:c>
      <x:c r="O14" s="88" t="str">
        <x:v>Chưa chấm</x:v>
      </x:c>
      <x:c r="P14" s="89"/>
      <x:c r="Q14" s="90" t="str">
        <x:f>IF(AND(M14="Chưa chấm",N14="Chưa chấm",O14="Chưa chấm"),"Chưa test",IF(OR(M14="Không đạt",N14="Không đạt",O14="Không đạt"),"Không đạt",IF(AND(OR(M14="Đạt",M14="Không áp dụng"),OR(N14="Đạt",N14="Không áp dụng"),OR(O14="Đạt",O14="Không áp dụng")),"Đạt","Đang test")))</x:f>
        <x:v>Chưa test</x:v>
      </x:c>
      <x:c r="R14" s="88" t="str">
        <x:v>Chưa phân loại</x:v>
      </x:c>
      <x:c r="S14" s="80" t="str"/>
      <x:c r="T14" s="80" t="str"/>
      <x:c r="U14" s="82"/>
      <x:c r="V14" s="80" t="str">
        <x:v>Mới</x:v>
      </x:c>
      <x:c r="W14" s="80" t="str"/>
      <x:c r="X14" s="80" t="str"/>
    </x:row>
    <x:row r="15">
      <x:c r="A15" s="86" t="n">
        <x:v>11</x:v>
      </x:c>
      <x:c r="B15" s="86" t="str">
        <x:v>C11</x:v>
      </x:c>
      <x:c r="C15" s="86" t="str">
        <x:v>C-Level</x:v>
      </x:c>
      <x:c r="D15" s="77" t="str">
        <x:v>Doanh thu đang phụ thuộc vào top 10 khách hàng, top 10 sản phẩm và top 3 miền/vùng ở mức nào; xu hướng tập trung tăng hay giảm?</x:v>
      </x:c>
      <x:c r="E15" s="87" t="str">
        <x:v>S70</x:v>
      </x:c>
      <x:c r="F15" s="87" t="str">
        <x:v>Đủ nguồn</x:v>
      </x:c>
      <x:c r="G15" s="77" t="str">
        <x:v>Đối chiếu số liệu, diễn giải và phân quyền</x:v>
      </x:c>
      <x:c r="H15" s="80" t="str"/>
      <x:c r="I15" s="81"/>
      <x:c r="J15" s="82" t="n">
        <x:v>46265</x:v>
      </x:c>
      <x:c r="K15" s="80" t="str">
        <x:v>Đối chiếu file kết quả theo câu C11, checker S70.</x:v>
      </x:c>
      <x:c r="L15" s="80" t="str"/>
      <x:c r="M15" s="88" t="str">
        <x:v>Chưa chấm</x:v>
      </x:c>
      <x:c r="N15" s="88" t="str">
        <x:v>Chưa chấm</x:v>
      </x:c>
      <x:c r="O15" s="88" t="str">
        <x:v>Chưa chấm</x:v>
      </x:c>
      <x:c r="P15" s="89"/>
      <x:c r="Q15" s="90" t="str">
        <x:f>IF(AND(M15="Chưa chấm",N15="Chưa chấm",O15="Chưa chấm"),"Chưa test",IF(OR(M15="Không đạt",N15="Không đạt",O15="Không đạt"),"Không đạt",IF(AND(OR(M15="Đạt",M15="Không áp dụng"),OR(N15="Đạt",N15="Không áp dụng"),OR(O15="Đạt",O15="Không áp dụng")),"Đạt","Đang test")))</x:f>
        <x:v>Chưa test</x:v>
      </x:c>
      <x:c r="R15" s="88" t="str">
        <x:v>Chưa phân loại</x:v>
      </x:c>
      <x:c r="S15" s="80" t="str"/>
      <x:c r="T15" s="80" t="str"/>
      <x:c r="U15" s="82"/>
      <x:c r="V15" s="80" t="str">
        <x:v>Mới</x:v>
      </x:c>
      <x:c r="W15" s="80" t="str"/>
      <x:c r="X15" s="80" t="str"/>
    </x:row>
    <x:row r="16">
      <x:c r="A16" s="86" t="n">
        <x:v>12</x:v>
      </x:c>
      <x:c r="B16" s="86" t="str">
        <x:v>C12</x:v>
      </x:c>
      <x:c r="C16" s="86" t="str">
        <x:v>C-Level</x:v>
      </x:c>
      <x:c r="D16" s="77" t="str">
        <x:v>Nếu loại các giao dịch bất thường, đơn lớn đột biến, trả hàng và điều chỉnh, tăng trưởng cốt lõi từng tháng còn bao nhiêu?</x:v>
      </x:c>
      <x:c r="E16" s="87" t="str">
        <x:v>S09</x:v>
      </x:c>
      <x:c r="F16" s="87" t="str">
        <x:v>Đủ nguồn</x:v>
      </x:c>
      <x:c r="G16" s="77" t="str">
        <x:v>Đối chiếu số liệu, diễn giải và phân quyền</x:v>
      </x:c>
      <x:c r="H16" s="80" t="str"/>
      <x:c r="I16" s="81"/>
      <x:c r="J16" s="82" t="n">
        <x:v>46265</x:v>
      </x:c>
      <x:c r="K16" s="80" t="str">
        <x:v>Đối chiếu file kết quả theo câu C12, checker S09.</x:v>
      </x:c>
      <x:c r="L16" s="80" t="str"/>
      <x:c r="M16" s="88" t="str">
        <x:v>Chưa chấm</x:v>
      </x:c>
      <x:c r="N16" s="88" t="str">
        <x:v>Chưa chấm</x:v>
      </x:c>
      <x:c r="O16" s="88" t="str">
        <x:v>Chưa chấm</x:v>
      </x:c>
      <x:c r="P16" s="89"/>
      <x:c r="Q16" s="90" t="str">
        <x:f>IF(AND(M16="Chưa chấm",N16="Chưa chấm",O16="Chưa chấm"),"Chưa test",IF(OR(M16="Không đạt",N16="Không đạt",O16="Không đạt"),"Không đạt",IF(AND(OR(M16="Đạt",M16="Không áp dụng"),OR(N16="Đạt",N16="Không áp dụng"),OR(O16="Đạt",O16="Không áp dụng")),"Đạt","Đang test")))</x:f>
        <x:v>Chưa test</x:v>
      </x:c>
      <x:c r="R16" s="88" t="str">
        <x:v>Chưa phân loại</x:v>
      </x:c>
      <x:c r="S16" s="80" t="str"/>
      <x:c r="T16" s="80" t="str"/>
      <x:c r="U16" s="82"/>
      <x:c r="V16" s="80" t="str">
        <x:v>Mới</x:v>
      </x:c>
      <x:c r="W16" s="80" t="str"/>
      <x:c r="X16" s="80" t="str"/>
    </x:row>
    <x:row r="17">
      <x:c r="A17" s="86" t="n">
        <x:v>13</x:v>
      </x:c>
      <x:c r="B17" s="86" t="str">
        <x:v>C13</x:v>
      </x:c>
      <x:c r="C17" s="86" t="str">
        <x:v>C-Level</x:v>
      </x:c>
      <x:c r="D17" s="77" t="str">
        <x:v>Doanh thu gộp, chiết khấu, khuyến mãi, hàng trả và doanh thu thuần từng tháng là bao nhiêu?</x:v>
      </x:c>
      <x:c r="E17" s="87" t="str">
        <x:v>S10</x:v>
      </x:c>
      <x:c r="F17" s="87" t="str">
        <x:v>Chưa có nguồn dữ liệu</x:v>
      </x:c>
      <x:c r="G17" s="77" t="str">
        <x:v>Kỳ vọng chatbot báo chưa đủ dữ liệu, không suy đoán</x:v>
      </x:c>
      <x:c r="H17" s="80" t="str"/>
      <x:c r="I17" s="81"/>
      <x:c r="J17" s="82" t="n">
        <x:v>46265</x:v>
      </x:c>
      <x:c r="K17" s="80" t="str">
        <x:v>Chatbot phải báo rõ chưa đủ dữ liệu/lịch sử; không tự tạo số.</x:v>
      </x:c>
      <x:c r="L17" s="80" t="str"/>
      <x:c r="M17" s="88" t="str">
        <x:v>Chưa chấm</x:v>
      </x:c>
      <x:c r="N17" s="88" t="str">
        <x:v>Chưa chấm</x:v>
      </x:c>
      <x:c r="O17" s="88" t="str">
        <x:v>Chưa chấm</x:v>
      </x:c>
      <x:c r="P17" s="89"/>
      <x:c r="Q17" s="90" t="str">
        <x:f>IF(AND(M17="Chưa chấm",N17="Chưa chấm",O17="Chưa chấm"),"Chưa test",IF(OR(M17="Không đạt",N17="Không đạt",O17="Không đạt"),"Không đạt",IF(AND(OR(M17="Đạt",M17="Không áp dụng"),OR(N17="Đạt",N17="Không áp dụng"),OR(O17="Đạt",O17="Không áp dụng")),"Đạt","Đang test")))</x:f>
        <x:v>Chưa test</x:v>
      </x:c>
      <x:c r="R17" s="88" t="str">
        <x:v>Chưa phân loại</x:v>
      </x:c>
      <x:c r="S17" s="80" t="str"/>
      <x:c r="T17" s="80" t="str"/>
      <x:c r="U17" s="82"/>
      <x:c r="V17" s="80" t="str">
        <x:v>Mới</x:v>
      </x:c>
      <x:c r="W17" s="80" t="str"/>
      <x:c r="X17" s="80" t="str"/>
    </x:row>
    <x:row r="18">
      <x:c r="A18" s="86" t="n">
        <x:v>14</x:v>
      </x:c>
      <x:c r="B18" s="86" t="str">
        <x:v>C14</x:v>
      </x:c>
      <x:c r="C18" s="86" t="str">
        <x:v>C-Level</x:v>
      </x:c>
      <x:c r="D18" s="77" t="str">
        <x:v>Lợi nhuận gộp và biên lợi nhuận gộp theo tháng, kênh, miền và nhóm sản phẩm thay đổi thế nào?</x:v>
      </x:c>
      <x:c r="E18" s="87" t="str">
        <x:v>S10</x:v>
      </x:c>
      <x:c r="F18" s="87" t="str">
        <x:v>Chưa có nguồn dữ liệu</x:v>
      </x:c>
      <x:c r="G18" s="77" t="str">
        <x:v>Kỳ vọng chatbot báo chưa đủ dữ liệu, không suy đoán</x:v>
      </x:c>
      <x:c r="H18" s="80" t="str"/>
      <x:c r="I18" s="81"/>
      <x:c r="J18" s="82" t="n">
        <x:v>46265</x:v>
      </x:c>
      <x:c r="K18" s="80" t="str">
        <x:v>Chatbot phải báo rõ chưa đủ dữ liệu/lịch sử; không tự tạo số.</x:v>
      </x:c>
      <x:c r="L18" s="80" t="str"/>
      <x:c r="M18" s="88" t="str">
        <x:v>Chưa chấm</x:v>
      </x:c>
      <x:c r="N18" s="88" t="str">
        <x:v>Chưa chấm</x:v>
      </x:c>
      <x:c r="O18" s="88" t="str">
        <x:v>Chưa chấm</x:v>
      </x:c>
      <x:c r="P18" s="89"/>
      <x:c r="Q18" s="90" t="str">
        <x:f>IF(AND(M18="Chưa chấm",N18="Chưa chấm",O18="Chưa chấm"),"Chưa test",IF(OR(M18="Không đạt",N18="Không đạt",O18="Không đạt"),"Không đạt",IF(AND(OR(M18="Đạt",M18="Không áp dụng"),OR(N18="Đạt",N18="Không áp dụng"),OR(O18="Đạt",O18="Không áp dụng")),"Đạt","Đang test")))</x:f>
        <x:v>Chưa test</x:v>
      </x:c>
      <x:c r="R18" s="88" t="str">
        <x:v>Chưa phân loại</x:v>
      </x:c>
      <x:c r="S18" s="80" t="str"/>
      <x:c r="T18" s="80" t="str"/>
      <x:c r="U18" s="82"/>
      <x:c r="V18" s="80" t="str">
        <x:v>Mới</x:v>
      </x:c>
      <x:c r="W18" s="80" t="str"/>
      <x:c r="X18" s="80" t="str"/>
    </x:row>
    <x:row r="19">
      <x:c r="A19" s="86" t="n">
        <x:v>15</x:v>
      </x:c>
      <x:c r="B19" s="86" t="str">
        <x:v>C15</x:v>
      </x:c>
      <x:c r="C19" s="86" t="str">
        <x:v>C-Level</x:v>
      </x:c>
      <x:c r="D19" s="77" t="str">
        <x:v>Kênh/miền/sản phẩm nào tăng doanh thu nhưng giảm biên lợi nhuận; nguyên nhân do giá, chiết khấu, giá vốn hay cơ cấu?</x:v>
      </x:c>
      <x:c r="E19" s="87" t="str">
        <x:v>S10</x:v>
      </x:c>
      <x:c r="F19" s="87" t="str">
        <x:v>Chưa có nguồn dữ liệu</x:v>
      </x:c>
      <x:c r="G19" s="77" t="str">
        <x:v>Kỳ vọng chatbot báo chưa đủ dữ liệu, không suy đoán</x:v>
      </x:c>
      <x:c r="H19" s="80" t="str"/>
      <x:c r="I19" s="81"/>
      <x:c r="J19" s="82" t="n">
        <x:v>46265</x:v>
      </x:c>
      <x:c r="K19" s="80" t="str">
        <x:v>Chatbot phải báo rõ chưa đủ dữ liệu/lịch sử; không tự tạo số.</x:v>
      </x:c>
      <x:c r="L19" s="80" t="str"/>
      <x:c r="M19" s="88" t="str">
        <x:v>Chưa chấm</x:v>
      </x:c>
      <x:c r="N19" s="88" t="str">
        <x:v>Chưa chấm</x:v>
      </x:c>
      <x:c r="O19" s="88" t="str">
        <x:v>Chưa chấm</x:v>
      </x:c>
      <x:c r="P19" s="89"/>
      <x:c r="Q19" s="90" t="str">
        <x:f>IF(AND(M19="Chưa chấm",N19="Chưa chấm",O19="Chưa chấm"),"Chưa test",IF(OR(M19="Không đạt",N19="Không đạt",O19="Không đạt"),"Không đạt",IF(AND(OR(M19="Đạt",M19="Không áp dụng"),OR(N19="Đạt",N19="Không áp dụng"),OR(O19="Đạt",O19="Không áp dụng")),"Đạt","Đang test")))</x:f>
        <x:v>Chưa test</x:v>
      </x:c>
      <x:c r="R19" s="88" t="str">
        <x:v>Chưa phân loại</x:v>
      </x:c>
      <x:c r="S19" s="80" t="str"/>
      <x:c r="T19" s="80" t="str"/>
      <x:c r="U19" s="82"/>
      <x:c r="V19" s="80" t="str">
        <x:v>Mới</x:v>
      </x:c>
      <x:c r="W19" s="80" t="str"/>
      <x:c r="X19" s="80" t="str"/>
    </x:row>
    <x:row r="20">
      <x:c r="A20" s="86" t="n">
        <x:v>16</x:v>
      </x:c>
      <x:c r="B20" s="86" t="str">
        <x:v>C16</x:v>
      </x:c>
      <x:c r="C20" s="86" t="str">
        <x:v>C-Level</x:v>
      </x:c>
      <x:c r="D20" s="77" t="str">
        <x:v>Giá bán thực tế bình quân của từng SKU thay đổi MoM/YoY ra sao; SKU nào có dấu hiệu giảm giá hoặc xói mòn giá?</x:v>
      </x:c>
      <x:c r="E20" s="87" t="str">
        <x:v>S11</x:v>
      </x:c>
      <x:c r="F20" s="87" t="str">
        <x:v>Đủ nguồn</x:v>
      </x:c>
      <x:c r="G20" s="77" t="str">
        <x:v>Đối chiếu số liệu, diễn giải và phân quyền</x:v>
      </x:c>
      <x:c r="H20" s="80" t="str"/>
      <x:c r="I20" s="81"/>
      <x:c r="J20" s="82" t="n">
        <x:v>46265</x:v>
      </x:c>
      <x:c r="K20" s="80" t="str">
        <x:v>Đối chiếu file kết quả theo câu C16, checker S11.</x:v>
      </x:c>
      <x:c r="L20" s="80" t="str"/>
      <x:c r="M20" s="88" t="str">
        <x:v>Chưa chấm</x:v>
      </x:c>
      <x:c r="N20" s="88" t="str">
        <x:v>Chưa chấm</x:v>
      </x:c>
      <x:c r="O20" s="88" t="str">
        <x:v>Chưa chấm</x:v>
      </x:c>
      <x:c r="P20" s="89"/>
      <x:c r="Q20" s="90" t="str">
        <x:f>IF(AND(M20="Chưa chấm",N20="Chưa chấm",O20="Chưa chấm"),"Chưa test",IF(OR(M20="Không đạt",N20="Không đạt",O20="Không đạt"),"Không đạt",IF(AND(OR(M20="Đạt",M20="Không áp dụng"),OR(N20="Đạt",N20="Không áp dụng"),OR(O20="Đạt",O20="Không áp dụng")),"Đạt","Đang test")))</x:f>
        <x:v>Chưa test</x:v>
      </x:c>
      <x:c r="R20" s="88" t="str">
        <x:v>Chưa phân loại</x:v>
      </x:c>
      <x:c r="S20" s="80" t="str"/>
      <x:c r="T20" s="80" t="str"/>
      <x:c r="U20" s="82"/>
      <x:c r="V20" s="80" t="str">
        <x:v>Mới</x:v>
      </x:c>
      <x:c r="W20" s="80" t="str"/>
      <x:c r="X20" s="80" t="str"/>
    </x:row>
    <x:row r="21">
      <x:c r="A21" s="86" t="n">
        <x:v>17</x:v>
      </x:c>
      <x:c r="B21" s="86" t="str">
        <x:v>C17</x:v>
      </x:c>
      <x:c r="C21" s="86" t="str">
        <x:v>C-Level</x:v>
      </x:c>
      <x:c r="D21" s="77" t="str">
        <x:v>Tỷ lệ hàng trả/điều chỉnh trên doanh thu theo tháng và kênh là bao nhiêu; nơi nào vượt ngưỡng?</x:v>
      </x:c>
      <x:c r="E21" s="87" t="str">
        <x:v>S77</x:v>
      </x:c>
      <x:c r="F21" s="87" t="str">
        <x:v>Đủ nguồn</x:v>
      </x:c>
      <x:c r="G21" s="77" t="str">
        <x:v>Đối chiếu số liệu, diễn giải và phân quyền</x:v>
      </x:c>
      <x:c r="H21" s="80" t="str"/>
      <x:c r="I21" s="81"/>
      <x:c r="J21" s="82" t="n">
        <x:v>46265</x:v>
      </x:c>
      <x:c r="K21" s="80" t="str">
        <x:v>Đối chiếu file kết quả theo câu C17, checker S77.</x:v>
      </x:c>
      <x:c r="L21" s="80" t="str"/>
      <x:c r="M21" s="88" t="str">
        <x:v>Chưa chấm</x:v>
      </x:c>
      <x:c r="N21" s="88" t="str">
        <x:v>Chưa chấm</x:v>
      </x:c>
      <x:c r="O21" s="88" t="str">
        <x:v>Chưa chấm</x:v>
      </x:c>
      <x:c r="P21" s="89"/>
      <x:c r="Q21" s="90" t="str">
        <x:f>IF(AND(M21="Chưa chấm",N21="Chưa chấm",O21="Chưa chấm"),"Chưa test",IF(OR(M21="Không đạt",N21="Không đạt",O21="Không đạt"),"Không đạt",IF(AND(OR(M21="Đạt",M21="Không áp dụng"),OR(N21="Đạt",N21="Không áp dụng"),OR(O21="Đạt",O21="Không áp dụng")),"Đạt","Đang test")))</x:f>
        <x:v>Chưa test</x:v>
      </x:c>
      <x:c r="R21" s="88" t="str">
        <x:v>Chưa phân loại</x:v>
      </x:c>
      <x:c r="S21" s="80" t="str"/>
      <x:c r="T21" s="80" t="str"/>
      <x:c r="U21" s="82"/>
      <x:c r="V21" s="80" t="str">
        <x:v>Mới</x:v>
      </x:c>
      <x:c r="W21" s="80" t="str"/>
      <x:c r="X21" s="80" t="str"/>
    </x:row>
    <x:row r="22">
      <x:c r="A22" s="86" t="n">
        <x:v>18</x:v>
      </x:c>
      <x:c r="B22" s="86" t="str">
        <x:v>C18</x:v>
      </x:c>
      <x:c r="C22" s="86" t="str">
        <x:v>C-Level</x:v>
      </x:c>
      <x:c r="D22" s="77" t="str">
        <x:v>Chi phí khuyến mãi/chiết khấu tạo thêm bao nhiêu doanh thu và lợi nhuận; chương trình nào thực sự có uplift so baseline?</x:v>
      </x:c>
      <x:c r="E22" s="87" t="str">
        <x:v>S12</x:v>
      </x:c>
      <x:c r="F22" s="87" t="str">
        <x:v>Thiếu một phần dữ liệu</x:v>
      </x:c>
      <x:c r="G22" s="77" t="str">
        <x:v>Kiểm phần có dữ liệu; phần thiếu phải được thông báo rõ</x:v>
      </x:c>
      <x:c r="H22" s="80" t="str"/>
      <x:c r="I22" s="81"/>
      <x:c r="J22" s="82" t="n">
        <x:v>46265</x:v>
      </x:c>
      <x:c r="K22" s="80" t="str">
        <x:v>Đối chiếu file kết quả theo câu C18, checker S12.</x:v>
      </x:c>
      <x:c r="L22" s="80" t="str"/>
      <x:c r="M22" s="88" t="str">
        <x:v>Chưa chấm</x:v>
      </x:c>
      <x:c r="N22" s="88" t="str">
        <x:v>Chưa chấm</x:v>
      </x:c>
      <x:c r="O22" s="88" t="str">
        <x:v>Chưa chấm</x:v>
      </x:c>
      <x:c r="P22" s="89"/>
      <x:c r="Q22" s="90" t="str">
        <x:f>IF(AND(M22="Chưa chấm",N22="Chưa chấm",O22="Chưa chấm"),"Chưa test",IF(OR(M22="Không đạt",N22="Không đạt",O22="Không đạt"),"Không đạt",IF(AND(OR(M22="Đạt",M22="Không áp dụng"),OR(N22="Đạt",N22="Không áp dụng"),OR(O22="Đạt",O22="Không áp dụng")),"Đạt","Đang test")))</x:f>
        <x:v>Chưa test</x:v>
      </x:c>
      <x:c r="R22" s="88" t="str">
        <x:v>Chưa phân loại</x:v>
      </x:c>
      <x:c r="S22" s="80" t="str"/>
      <x:c r="T22" s="80" t="str"/>
      <x:c r="U22" s="82"/>
      <x:c r="V22" s="80" t="str">
        <x:v>Mới</x:v>
      </x:c>
      <x:c r="W22" s="80" t="str"/>
      <x:c r="X22" s="80" t="str"/>
    </x:row>
    <x:row r="23">
      <x:c r="A23" s="86" t="n">
        <x:v>19</x:v>
      </x:c>
      <x:c r="B23" s="86" t="str">
        <x:v>C19</x:v>
      </x:c>
      <x:c r="C23" s="86" t="str">
        <x:v>C-Level</x:v>
      </x:c>
      <x:c r="D23" s="77" t="str">
        <x:v>Sản phẩm/khách hàng nào doanh thu cao nhưng lợi nhuận thấp hoặc âm; tỷ trọng của nhóm này tăng hay giảm?</x:v>
      </x:c>
      <x:c r="E23" s="87" t="str">
        <x:v>S10</x:v>
      </x:c>
      <x:c r="F23" s="87" t="str">
        <x:v>Chưa có nguồn dữ liệu</x:v>
      </x:c>
      <x:c r="G23" s="77" t="str">
        <x:v>Kỳ vọng chatbot báo chưa đủ dữ liệu, không suy đoán</x:v>
      </x:c>
      <x:c r="H23" s="80" t="str"/>
      <x:c r="I23" s="81"/>
      <x:c r="J23" s="82" t="n">
        <x:v>46265</x:v>
      </x:c>
      <x:c r="K23" s="80" t="str">
        <x:v>Chatbot phải báo rõ chưa đủ dữ liệu/lịch sử; không tự tạo số.</x:v>
      </x:c>
      <x:c r="L23" s="80" t="str"/>
      <x:c r="M23" s="88" t="str">
        <x:v>Chưa chấm</x:v>
      </x:c>
      <x:c r="N23" s="88" t="str">
        <x:v>Chưa chấm</x:v>
      </x:c>
      <x:c r="O23" s="88" t="str">
        <x:v>Chưa chấm</x:v>
      </x:c>
      <x:c r="P23" s="89"/>
      <x:c r="Q23" s="90" t="str">
        <x:f>IF(AND(M23="Chưa chấm",N23="Chưa chấm",O23="Chưa chấm"),"Chưa test",IF(OR(M23="Không đạt",N23="Không đạt",O23="Không đạt"),"Không đạt",IF(AND(OR(M23="Đạt",M23="Không áp dụng"),OR(N23="Đạt",N23="Không áp dụng"),OR(O23="Đạt",O23="Không áp dụng")),"Đạt","Đang test")))</x:f>
        <x:v>Chưa test</x:v>
      </x:c>
      <x:c r="R23" s="88" t="str">
        <x:v>Chưa phân loại</x:v>
      </x:c>
      <x:c r="S23" s="80" t="str"/>
      <x:c r="T23" s="80" t="str"/>
      <x:c r="U23" s="82"/>
      <x:c r="V23" s="80" t="str">
        <x:v>Mới</x:v>
      </x:c>
      <x:c r="W23" s="80" t="str"/>
      <x:c r="X23" s="80" t="str"/>
    </x:row>
    <x:row r="24">
      <x:c r="A24" s="86" t="n">
        <x:v>20</x:v>
      </x:c>
      <x:c r="B24" s="86" t="str">
        <x:v>C20</x:v>
      </x:c>
      <x:c r="C24" s="86" t="str">
        <x:v>C-Level</x:v>
      </x:c>
      <x:c r="D24" s="77" t="str">
        <x:v>Tăng trưởng trên cùng tập khách hàng và cùng tập sản phẩm (like-for-like) là bao nhiêu, tách khỏi tăng trưởng do mở mới?</x:v>
      </x:c>
      <x:c r="E24" s="87" t="str">
        <x:v>S13</x:v>
      </x:c>
      <x:c r="F24" s="87" t="str">
        <x:v>Cần DNH chốt công thức</x:v>
      </x:c>
      <x:c r="G24" s="77" t="str">
        <x:v>Kiểm cách trình bày; chưa dùng làm chuẩn số trước khi DNH chốt</x:v>
      </x:c>
      <x:c r="H24" s="80" t="str"/>
      <x:c r="I24" s="81"/>
      <x:c r="J24" s="82" t="n">
        <x:v>46265</x:v>
      </x:c>
      <x:c r="K24" s="80" t="str">
        <x:v>Đối chiếu file kết quả theo câu C20, checker S13.</x:v>
      </x:c>
      <x:c r="L24" s="80" t="str"/>
      <x:c r="M24" s="88" t="str">
        <x:v>Chưa chấm</x:v>
      </x:c>
      <x:c r="N24" s="88" t="str">
        <x:v>Chưa chấm</x:v>
      </x:c>
      <x:c r="O24" s="88" t="str">
        <x:v>Chưa chấm</x:v>
      </x:c>
      <x:c r="P24" s="89"/>
      <x:c r="Q24" s="90" t="str">
        <x:f>IF(AND(M24="Chưa chấm",N24="Chưa chấm",O24="Chưa chấm"),"Chưa test",IF(OR(M24="Không đạt",N24="Không đạt",O24="Không đạt"),"Không đạt",IF(AND(OR(M24="Đạt",M24="Không áp dụng"),OR(N24="Đạt",N24="Không áp dụng"),OR(O24="Đạt",O24="Không áp dụng")),"Đạt","Đang test")))</x:f>
        <x:v>Chưa test</x:v>
      </x:c>
      <x:c r="R24" s="88" t="str">
        <x:v>Chưa phân loại</x:v>
      </x:c>
      <x:c r="S24" s="80" t="str"/>
      <x:c r="T24" s="80" t="str"/>
      <x:c r="U24" s="82"/>
      <x:c r="V24" s="80" t="str">
        <x:v>Mới</x:v>
      </x:c>
      <x:c r="W24" s="80" t="str"/>
      <x:c r="X24" s="80" t="str"/>
    </x:row>
    <x:row r="25">
      <x:c r="A25" s="86" t="n">
        <x:v>21</x:v>
      </x:c>
      <x:c r="B25" s="86" t="str">
        <x:v>C21</x:v>
      </x:c>
      <x:c r="C25" s="86" t="str">
        <x:v>C-Level</x:v>
      </x:c>
      <x:c r="D25" s="77" t="str">
        <x:v>Xếp hạng kênh, miền, vùng, tỉnh và chi nhánh/NPP theo doanh thu, tăng trưởng, % kế hoạch và đóng góp tăng trưởng từng tháng.</x:v>
      </x:c>
      <x:c r="E25" s="87" t="str">
        <x:v>S14</x:v>
      </x:c>
      <x:c r="F25" s="87" t="str">
        <x:v>Đủ nguồn</x:v>
      </x:c>
      <x:c r="G25" s="77" t="str">
        <x:v>Đối chiếu số liệu, diễn giải và phân quyền</x:v>
      </x:c>
      <x:c r="H25" s="80" t="str"/>
      <x:c r="I25" s="81"/>
      <x:c r="J25" s="82" t="n">
        <x:v>46265</x:v>
      </x:c>
      <x:c r="K25" s="80" t="str">
        <x:v>Đối chiếu file kết quả theo câu C21, checker S14.</x:v>
      </x:c>
      <x:c r="L25" s="80" t="str"/>
      <x:c r="M25" s="88" t="str">
        <x:v>Chưa chấm</x:v>
      </x:c>
      <x:c r="N25" s="88" t="str">
        <x:v>Chưa chấm</x:v>
      </x:c>
      <x:c r="O25" s="88" t="str">
        <x:v>Chưa chấm</x:v>
      </x:c>
      <x:c r="P25" s="89"/>
      <x:c r="Q25" s="90" t="str">
        <x:f>IF(AND(M25="Chưa chấm",N25="Chưa chấm",O25="Chưa chấm"),"Chưa test",IF(OR(M25="Không đạt",N25="Không đạt",O25="Không đạt"),"Không đạt",IF(AND(OR(M25="Đạt",M25="Không áp dụng"),OR(N25="Đạt",N25="Không áp dụng"),OR(O25="Đạt",O25="Không áp dụng")),"Đạt","Đang test")))</x:f>
        <x:v>Chưa test</x:v>
      </x:c>
      <x:c r="R25" s="88" t="str">
        <x:v>Chưa phân loại</x:v>
      </x:c>
      <x:c r="S25" s="80" t="str"/>
      <x:c r="T25" s="80" t="str"/>
      <x:c r="U25" s="82"/>
      <x:c r="V25" s="80" t="str">
        <x:v>Mới</x:v>
      </x:c>
      <x:c r="W25" s="80" t="str"/>
      <x:c r="X25" s="80" t="str"/>
    </x:row>
    <x:row r="26">
      <x:c r="A26" s="86" t="n">
        <x:v>22</x:v>
      </x:c>
      <x:c r="B26" s="86" t="str">
        <x:v>C22</x:v>
      </x:c>
      <x:c r="C26" s="86" t="str">
        <x:v>C-Level</x:v>
      </x:c>
      <x:c r="D26" s="77" t="str">
        <x:v>Đơn vị nào tăng trưởng liên tục 3/6 tháng; đơn vị nào giảm liên tục 3/6 tháng?</x:v>
      </x:c>
      <x:c r="E26" s="87" t="str">
        <x:v>S49</x:v>
      </x:c>
      <x:c r="F26" s="87" t="str">
        <x:v>Đủ nguồn</x:v>
      </x:c>
      <x:c r="G26" s="77" t="str">
        <x:v>Đối chiếu số liệu, diễn giải và phân quyền</x:v>
      </x:c>
      <x:c r="H26" s="80" t="str"/>
      <x:c r="I26" s="81"/>
      <x:c r="J26" s="82" t="n">
        <x:v>46265</x:v>
      </x:c>
      <x:c r="K26" s="80" t="str">
        <x:v>Đối chiếu file kết quả theo câu C22, checker S49.</x:v>
      </x:c>
      <x:c r="L26" s="80" t="str"/>
      <x:c r="M26" s="88" t="str">
        <x:v>Chưa chấm</x:v>
      </x:c>
      <x:c r="N26" s="88" t="str">
        <x:v>Chưa chấm</x:v>
      </x:c>
      <x:c r="O26" s="88" t="str">
        <x:v>Chưa chấm</x:v>
      </x:c>
      <x:c r="P26" s="89"/>
      <x:c r="Q26" s="90" t="str">
        <x:f>IF(AND(M26="Chưa chấm",N26="Chưa chấm",O26="Chưa chấm"),"Chưa test",IF(OR(M26="Không đạt",N26="Không đạt",O26="Không đạt"),"Không đạt",IF(AND(OR(M26="Đạt",M26="Không áp dụng"),OR(N26="Đạt",N26="Không áp dụng"),OR(O26="Đạt",O26="Không áp dụng")),"Đạt","Đang test")))</x:f>
        <x:v>Chưa test</x:v>
      </x:c>
      <x:c r="R26" s="88" t="str">
        <x:v>Chưa phân loại</x:v>
      </x:c>
      <x:c r="S26" s="80" t="str"/>
      <x:c r="T26" s="80" t="str"/>
      <x:c r="U26" s="82"/>
      <x:c r="V26" s="80" t="str">
        <x:v>Mới</x:v>
      </x:c>
      <x:c r="W26" s="80" t="str"/>
      <x:c r="X26" s="80" t="str"/>
    </x:row>
    <x:row r="27">
      <x:c r="A27" s="86" t="n">
        <x:v>23</x:v>
      </x:c>
      <x:c r="B27" s="86" t="str">
        <x:v>C23</x:v>
      </x:c>
      <x:c r="C27" s="86" t="str">
        <x:v>C-Level</x:v>
      </x:c>
      <x:c r="D27" s="77" t="str">
        <x:v>Địa bàn nào có quy mô lớn nhưng tăng trưởng thấp; địa bàn nào quy mô nhỏ nhưng đang tăng nhanh?</x:v>
      </x:c>
      <x:c r="E27" s="87" t="str">
        <x:v>S50</x:v>
      </x:c>
      <x:c r="F27" s="87" t="str">
        <x:v>Đủ nguồn</x:v>
      </x:c>
      <x:c r="G27" s="77" t="str">
        <x:v>Đối chiếu số liệu, diễn giải và phân quyền</x:v>
      </x:c>
      <x:c r="H27" s="80" t="str"/>
      <x:c r="I27" s="81"/>
      <x:c r="J27" s="82" t="n">
        <x:v>46265</x:v>
      </x:c>
      <x:c r="K27" s="80" t="str">
        <x:v>Đối chiếu file kết quả theo câu C23, checker S50.</x:v>
      </x:c>
      <x:c r="L27" s="80" t="str"/>
      <x:c r="M27" s="88" t="str">
        <x:v>Chưa chấm</x:v>
      </x:c>
      <x:c r="N27" s="88" t="str">
        <x:v>Chưa chấm</x:v>
      </x:c>
      <x:c r="O27" s="88" t="str">
        <x:v>Chưa chấm</x:v>
      </x:c>
      <x:c r="P27" s="89"/>
      <x:c r="Q27" s="90" t="str">
        <x:f>IF(AND(M27="Chưa chấm",N27="Chưa chấm",O27="Chưa chấm"),"Chưa test",IF(OR(M27="Không đạt",N27="Không đạt",O27="Không đạt"),"Không đạt",IF(AND(OR(M27="Đạt",M27="Không áp dụng"),OR(N27="Đạt",N27="Không áp dụng"),OR(O27="Đạt",O27="Không áp dụng")),"Đạt","Đang test")))</x:f>
        <x:v>Chưa test</x:v>
      </x:c>
      <x:c r="R27" s="88" t="str">
        <x:v>Chưa phân loại</x:v>
      </x:c>
      <x:c r="S27" s="80" t="str"/>
      <x:c r="T27" s="80" t="str"/>
      <x:c r="U27" s="82"/>
      <x:c r="V27" s="80" t="str">
        <x:v>Mới</x:v>
      </x:c>
      <x:c r="W27" s="80" t="str"/>
      <x:c r="X27" s="80" t="str"/>
    </x:row>
    <x:row r="28">
      <x:c r="A28" s="86" t="n">
        <x:v>24</x:v>
      </x:c>
      <x:c r="B28" s="86" t="str">
        <x:v>C24</x:v>
      </x:c>
      <x:c r="C28" s="86" t="str">
        <x:v>C-Level</x:v>
      </x:c>
      <x:c r="D28" s="77" t="str">
        <x:v>Tỉnh/vùng nào có độ phủ khách hàng thấp so với các địa bàn tương đồng; cơ hội trắng nằm ở đâu?</x:v>
      </x:c>
      <x:c r="E28" s="87" t="str">
        <x:v>S51</x:v>
      </x:c>
      <x:c r="F28" s="87" t="str">
        <x:v>Đủ nguồn</x:v>
      </x:c>
      <x:c r="G28" s="77" t="str">
        <x:v>Đối chiếu số liệu, diễn giải và phân quyền</x:v>
      </x:c>
      <x:c r="H28" s="80" t="str"/>
      <x:c r="I28" s="81"/>
      <x:c r="J28" s="82" t="n">
        <x:v>46265</x:v>
      </x:c>
      <x:c r="K28" s="80" t="str">
        <x:v>Đối chiếu file kết quả theo câu C24, checker S51.</x:v>
      </x:c>
      <x:c r="L28" s="80" t="str"/>
      <x:c r="M28" s="88" t="str">
        <x:v>Chưa chấm</x:v>
      </x:c>
      <x:c r="N28" s="88" t="str">
        <x:v>Chưa chấm</x:v>
      </x:c>
      <x:c r="O28" s="88" t="str">
        <x:v>Chưa chấm</x:v>
      </x:c>
      <x:c r="P28" s="89"/>
      <x:c r="Q28" s="90" t="str">
        <x:f>IF(AND(M28="Chưa chấm",N28="Chưa chấm",O28="Chưa chấm"),"Chưa test",IF(OR(M28="Không đạt",N28="Không đạt",O28="Không đạt"),"Không đạt",IF(AND(OR(M28="Đạt",M28="Không áp dụng"),OR(N28="Đạt",N28="Không áp dụng"),OR(O28="Đạt",O28="Không áp dụng")),"Đạt","Đang test")))</x:f>
        <x:v>Chưa test</x:v>
      </x:c>
      <x:c r="R28" s="88" t="str">
        <x:v>Chưa phân loại</x:v>
      </x:c>
      <x:c r="S28" s="80" t="str"/>
      <x:c r="T28" s="80" t="str"/>
      <x:c r="U28" s="82"/>
      <x:c r="V28" s="80" t="str">
        <x:v>Mới</x:v>
      </x:c>
      <x:c r="W28" s="80" t="str"/>
      <x:c r="X28" s="80" t="str"/>
    </x:row>
    <x:row r="29">
      <x:c r="A29" s="86" t="n">
        <x:v>25</x:v>
      </x:c>
      <x:c r="B29" s="86" t="str">
        <x:v>C25</x:v>
      </x:c>
      <x:c r="C29" s="86" t="str">
        <x:v>C-Level</x:v>
      </x:c>
      <x:c r="D29" s="77" t="str">
        <x:v>Năng suất mỗi NPP/chi nhánh theo tháng là bao nhiêu; NPP nào doanh thu giảm, tồn kho tăng hoặc công nợ xấu đi?</x:v>
      </x:c>
      <x:c r="E29" s="87" t="str">
        <x:v>S15</x:v>
      </x:c>
      <x:c r="F29" s="87" t="str">
        <x:v>Đủ nguồn</x:v>
      </x:c>
      <x:c r="G29" s="77" t="str">
        <x:v>Đối chiếu số liệu, diễn giải và phân quyền</x:v>
      </x:c>
      <x:c r="H29" s="80" t="str"/>
      <x:c r="I29" s="81"/>
      <x:c r="J29" s="82" t="n">
        <x:v>46265</x:v>
      </x:c>
      <x:c r="K29" s="80" t="str">
        <x:v>Đối chiếu file kết quả theo câu C25, checker S15.</x:v>
      </x:c>
      <x:c r="L29" s="80" t="str"/>
      <x:c r="M29" s="88" t="str">
        <x:v>Chưa chấm</x:v>
      </x:c>
      <x:c r="N29" s="88" t="str">
        <x:v>Chưa chấm</x:v>
      </x:c>
      <x:c r="O29" s="88" t="str">
        <x:v>Chưa chấm</x:v>
      </x:c>
      <x:c r="P29" s="89"/>
      <x:c r="Q29" s="90" t="str">
        <x:f>IF(AND(M29="Chưa chấm",N29="Chưa chấm",O29="Chưa chấm"),"Chưa test",IF(OR(M29="Không đạt",N29="Không đạt",O29="Không đạt"),"Không đạt",IF(AND(OR(M29="Đạt",M29="Không áp dụng"),OR(N29="Đạt",N29="Không áp dụng"),OR(O29="Đạt",O29="Không áp dụng")),"Đạt","Đang test")))</x:f>
        <x:v>Chưa test</x:v>
      </x:c>
      <x:c r="R29" s="88" t="str">
        <x:v>Chưa phân loại</x:v>
      </x:c>
      <x:c r="S29" s="80" t="str"/>
      <x:c r="T29" s="80" t="str"/>
      <x:c r="U29" s="82"/>
      <x:c r="V29" s="80" t="str">
        <x:v>Mới</x:v>
      </x:c>
      <x:c r="W29" s="80" t="str"/>
      <x:c r="X29" s="80" t="str"/>
    </x:row>
    <x:row r="30">
      <x:c r="A30" s="86" t="n">
        <x:v>26</x:v>
      </x:c>
      <x:c r="B30" s="86" t="str">
        <x:v>C26</x:v>
      </x:c>
      <x:c r="C30" s="86" t="str">
        <x:v>C-Level</x:v>
      </x:c>
      <x:c r="D30" s="77" t="str">
        <x:v>Khách mua đồng thời OTC và ETC đóng góp bao nhiêu doanh thu/công nợ; xu hướng mua chéo kênh ra sao?</x:v>
      </x:c>
      <x:c r="E30" s="87" t="str">
        <x:v>S16</x:v>
      </x:c>
      <x:c r="F30" s="87" t="str">
        <x:v>Đủ nguồn</x:v>
      </x:c>
      <x:c r="G30" s="77" t="str">
        <x:v>Đối chiếu số liệu, diễn giải và phân quyền</x:v>
      </x:c>
      <x:c r="H30" s="80" t="str"/>
      <x:c r="I30" s="81"/>
      <x:c r="J30" s="82" t="n">
        <x:v>46265</x:v>
      </x:c>
      <x:c r="K30" s="80" t="str">
        <x:v>Đối chiếu file kết quả theo câu C26, checker S16.</x:v>
      </x:c>
      <x:c r="L30" s="80" t="str"/>
      <x:c r="M30" s="88" t="str">
        <x:v>Chưa chấm</x:v>
      </x:c>
      <x:c r="N30" s="88" t="str">
        <x:v>Chưa chấm</x:v>
      </x:c>
      <x:c r="O30" s="88" t="str">
        <x:v>Chưa chấm</x:v>
      </x:c>
      <x:c r="P30" s="89"/>
      <x:c r="Q30" s="90" t="str">
        <x:f>IF(AND(M30="Chưa chấm",N30="Chưa chấm",O30="Chưa chấm"),"Chưa test",IF(OR(M30="Không đạt",N30="Không đạt",O30="Không đạt"),"Không đạt",IF(AND(OR(M30="Đạt",M30="Không áp dụng"),OR(N30="Đạt",N30="Không áp dụng"),OR(O30="Đạt",O30="Không áp dụng")),"Đạt","Đang test")))</x:f>
        <x:v>Chưa test</x:v>
      </x:c>
      <x:c r="R30" s="88" t="str">
        <x:v>Chưa phân loại</x:v>
      </x:c>
      <x:c r="S30" s="80" t="str"/>
      <x:c r="T30" s="80" t="str"/>
      <x:c r="U30" s="82"/>
      <x:c r="V30" s="80" t="str">
        <x:v>Mới</x:v>
      </x:c>
      <x:c r="W30" s="80" t="str"/>
      <x:c r="X30" s="80" t="str"/>
    </x:row>
    <x:row r="31">
      <x:c r="A31" s="86" t="n">
        <x:v>27</x:v>
      </x:c>
      <x:c r="B31" s="86" t="str">
        <x:v>C27</x:v>
      </x:c>
      <x:c r="C31" s="86" t="str">
        <x:v>C-Level</x:v>
      </x:c>
      <x:c r="D31" s="77" t="str">
        <x:v>Có sự dịch chuyển doanh thu bất thường giữa kênh, miền, chi nhánh hoặc mã nhân viên qua các tháng không?</x:v>
      </x:c>
      <x:c r="E31" s="87" t="str">
        <x:v>S17</x:v>
      </x:c>
      <x:c r="F31" s="87" t="str">
        <x:v>Thiếu một phần dữ liệu</x:v>
      </x:c>
      <x:c r="G31" s="77" t="str">
        <x:v>Kiểm phần có dữ liệu; phần thiếu phải được thông báo rõ</x:v>
      </x:c>
      <x:c r="H31" s="80" t="str"/>
      <x:c r="I31" s="81"/>
      <x:c r="J31" s="82" t="n">
        <x:v>46265</x:v>
      </x:c>
      <x:c r="K31" s="80" t="str">
        <x:v>Đối chiếu file kết quả theo câu C27, checker S17.</x:v>
      </x:c>
      <x:c r="L31" s="80" t="str"/>
      <x:c r="M31" s="88" t="str">
        <x:v>Chưa chấm</x:v>
      </x:c>
      <x:c r="N31" s="88" t="str">
        <x:v>Chưa chấm</x:v>
      </x:c>
      <x:c r="O31" s="88" t="str">
        <x:v>Chưa chấm</x:v>
      </x:c>
      <x:c r="P31" s="89"/>
      <x:c r="Q31" s="90" t="str">
        <x:f>IF(AND(M31="Chưa chấm",N31="Chưa chấm",O31="Chưa chấm"),"Chưa test",IF(OR(M31="Không đạt",N31="Không đạt",O31="Không đạt"),"Không đạt",IF(AND(OR(M31="Đạt",M31="Không áp dụng"),OR(N31="Đạt",N31="Không áp dụng"),OR(O31="Đạt",O31="Không áp dụng")),"Đạt","Đang test")))</x:f>
        <x:v>Chưa test</x:v>
      </x:c>
      <x:c r="R31" s="88" t="str">
        <x:v>Chưa phân loại</x:v>
      </x:c>
      <x:c r="S31" s="80" t="str"/>
      <x:c r="T31" s="80" t="str"/>
      <x:c r="U31" s="82"/>
      <x:c r="V31" s="80" t="str">
        <x:v>Mới</x:v>
      </x:c>
      <x:c r="W31" s="80" t="str"/>
      <x:c r="X31" s="80" t="str"/>
    </x:row>
    <x:row r="32">
      <x:c r="A32" s="86" t="n">
        <x:v>28</x:v>
      </x:c>
      <x:c r="B32" s="86" t="str">
        <x:v>C28</x:v>
      </x:c>
      <x:c r="C32" s="86" t="str">
        <x:v>C-Level</x:v>
      </x:c>
      <x:c r="D32" s="77" t="str">
        <x:v>Nếu loại ảnh hưởng của thay đổi địa bàn, chuyển nhân viên và chuyển khách, tăng trưởng thực của từng đơn vị còn bao nhiêu?</x:v>
      </x:c>
      <x:c r="E32" s="87" t="str">
        <x:v>S17</x:v>
      </x:c>
      <x:c r="F32" s="87" t="str">
        <x:v>Thiếu một phần dữ liệu</x:v>
      </x:c>
      <x:c r="G32" s="77" t="str">
        <x:v>Kiểm phần có dữ liệu; phần thiếu phải được thông báo rõ</x:v>
      </x:c>
      <x:c r="H32" s="80" t="str"/>
      <x:c r="I32" s="81"/>
      <x:c r="J32" s="82" t="n">
        <x:v>46265</x:v>
      </x:c>
      <x:c r="K32" s="80" t="str">
        <x:v>Đối chiếu file kết quả theo câu C28, checker S17.</x:v>
      </x:c>
      <x:c r="L32" s="80" t="str"/>
      <x:c r="M32" s="88" t="str">
        <x:v>Chưa chấm</x:v>
      </x:c>
      <x:c r="N32" s="88" t="str">
        <x:v>Chưa chấm</x:v>
      </x:c>
      <x:c r="O32" s="88" t="str">
        <x:v>Chưa chấm</x:v>
      </x:c>
      <x:c r="P32" s="89"/>
      <x:c r="Q32" s="90" t="str">
        <x:f>IF(AND(M32="Chưa chấm",N32="Chưa chấm",O32="Chưa chấm"),"Chưa test",IF(OR(M32="Không đạt",N32="Không đạt",O32="Không đạt"),"Không đạt",IF(AND(OR(M32="Đạt",M32="Không áp dụng"),OR(N32="Đạt",N32="Không áp dụng"),OR(O32="Đạt",O32="Không áp dụng")),"Đạt","Đang test")))</x:f>
        <x:v>Chưa test</x:v>
      </x:c>
      <x:c r="R32" s="88" t="str">
        <x:v>Chưa phân loại</x:v>
      </x:c>
      <x:c r="S32" s="80" t="str"/>
      <x:c r="T32" s="80" t="str"/>
      <x:c r="U32" s="82"/>
      <x:c r="V32" s="80" t="str">
        <x:v>Mới</x:v>
      </x:c>
      <x:c r="W32" s="80" t="str"/>
      <x:c r="X32" s="80" t="str"/>
    </x:row>
    <x:row r="33">
      <x:c r="A33" s="86" t="n">
        <x:v>29</x:v>
      </x:c>
      <x:c r="B33" s="86" t="str">
        <x:v>C29</x:v>
      </x:c>
      <x:c r="C33" s="86" t="str">
        <x:v>C-Level</x:v>
      </x:c>
      <x:c r="D33" s="77" t="str">
        <x:v>Số khách hoạt động, khách mới, khách mua lại, khách tái kích hoạt và khách ngừng mua từng tháng là bao nhiêu?</x:v>
      </x:c>
      <x:c r="E33" s="87" t="str">
        <x:v>S18</x:v>
      </x:c>
      <x:c r="F33" s="87" t="str">
        <x:v>Đủ nguồn</x:v>
      </x:c>
      <x:c r="G33" s="77" t="str">
        <x:v>Đối chiếu số liệu, diễn giải và phân quyền</x:v>
      </x:c>
      <x:c r="H33" s="80" t="str"/>
      <x:c r="I33" s="81"/>
      <x:c r="J33" s="82" t="n">
        <x:v>46265</x:v>
      </x:c>
      <x:c r="K33" s="80" t="str">
        <x:v>Đối chiếu file kết quả theo câu C29, checker S18.</x:v>
      </x:c>
      <x:c r="L33" s="80" t="str"/>
      <x:c r="M33" s="88" t="str">
        <x:v>Chưa chấm</x:v>
      </x:c>
      <x:c r="N33" s="88" t="str">
        <x:v>Chưa chấm</x:v>
      </x:c>
      <x:c r="O33" s="88" t="str">
        <x:v>Chưa chấm</x:v>
      </x:c>
      <x:c r="P33" s="89"/>
      <x:c r="Q33" s="90" t="str">
        <x:f>IF(AND(M33="Chưa chấm",N33="Chưa chấm",O33="Chưa chấm"),"Chưa test",IF(OR(M33="Không đạt",N33="Không đạt",O33="Không đạt"),"Không đạt",IF(AND(OR(M33="Đạt",M33="Không áp dụng"),OR(N33="Đạt",N33="Không áp dụng"),OR(O33="Đạt",O33="Không áp dụng")),"Đạt","Đang test")))</x:f>
        <x:v>Chưa test</x:v>
      </x:c>
      <x:c r="R33" s="88" t="str">
        <x:v>Chưa phân loại</x:v>
      </x:c>
      <x:c r="S33" s="80" t="str"/>
      <x:c r="T33" s="80" t="str"/>
      <x:c r="U33" s="82"/>
      <x:c r="V33" s="80" t="str">
        <x:v>Mới</x:v>
      </x:c>
      <x:c r="W33" s="80" t="str"/>
      <x:c r="X33" s="80" t="str"/>
    </x:row>
    <x:row r="34">
      <x:c r="A34" s="86" t="n">
        <x:v>30</x:v>
      </x:c>
      <x:c r="B34" s="86" t="str">
        <x:v>C30</x:v>
      </x:c>
      <x:c r="C34" s="86" t="str">
        <x:v>C-Level</x:v>
      </x:c>
      <x:c r="D34" s="77" t="str">
        <x:v>Tỷ lệ giữ chân khách theo cohort tháng mở mới sau 1/3/6/12 tháng là bao nhiêu, theo kênh và miền?</x:v>
      </x:c>
      <x:c r="E34" s="87" t="str">
        <x:v>S19</x:v>
      </x:c>
      <x:c r="F34" s="87" t="str">
        <x:v>Cần DNH chốt công thức</x:v>
      </x:c>
      <x:c r="G34" s="77" t="str">
        <x:v>Kiểm cách trình bày; chưa dùng làm chuẩn số trước khi DNH chốt</x:v>
      </x:c>
      <x:c r="H34" s="80" t="str"/>
      <x:c r="I34" s="81"/>
      <x:c r="J34" s="82" t="n">
        <x:v>46265</x:v>
      </x:c>
      <x:c r="K34" s="80" t="str">
        <x:v>Đối chiếu file kết quả theo câu C30, checker S19.</x:v>
      </x:c>
      <x:c r="L34" s="80" t="str"/>
      <x:c r="M34" s="88" t="str">
        <x:v>Chưa chấm</x:v>
      </x:c>
      <x:c r="N34" s="88" t="str">
        <x:v>Chưa chấm</x:v>
      </x:c>
      <x:c r="O34" s="88" t="str">
        <x:v>Chưa chấm</x:v>
      </x:c>
      <x:c r="P34" s="89"/>
      <x:c r="Q34" s="90" t="str">
        <x:f>IF(AND(M34="Chưa chấm",N34="Chưa chấm",O34="Chưa chấm"),"Chưa test",IF(OR(M34="Không đạt",N34="Không đạt",O34="Không đạt"),"Không đạt",IF(AND(OR(M34="Đạt",M34="Không áp dụng"),OR(N34="Đạt",N34="Không áp dụng"),OR(O34="Đạt",O34="Không áp dụng")),"Đạt","Đang test")))</x:f>
        <x:v>Chưa test</x:v>
      </x:c>
      <x:c r="R34" s="88" t="str">
        <x:v>Chưa phân loại</x:v>
      </x:c>
      <x:c r="S34" s="80" t="str"/>
      <x:c r="T34" s="80" t="str"/>
      <x:c r="U34" s="82"/>
      <x:c r="V34" s="80" t="str">
        <x:v>Mới</x:v>
      </x:c>
      <x:c r="W34" s="80" t="str"/>
      <x:c r="X34" s="80" t="str"/>
    </x:row>
    <x:row r="35">
      <x:c r="A35" s="86" t="n">
        <x:v>31</x:v>
      </x:c>
      <x:c r="B35" s="86" t="str">
        <x:v>C31</x:v>
      </x:c>
      <x:c r="C35" s="86" t="str">
        <x:v>C-Level</x:v>
      </x:c>
      <x:c r="D35" s="77" t="str">
        <x:v>Doanh thu mất đi từ khách ngừng mua và doanh thu tăng thêm từ khách mới/tái kích hoạt bù được bao nhiêu?</x:v>
      </x:c>
      <x:c r="E35" s="87" t="str">
        <x:v>S20</x:v>
      </x:c>
      <x:c r="F35" s="87" t="str">
        <x:v>Đủ nguồn</x:v>
      </x:c>
      <x:c r="G35" s="77" t="str">
        <x:v>Đối chiếu số liệu, diễn giải và phân quyền</x:v>
      </x:c>
      <x:c r="H35" s="80" t="str"/>
      <x:c r="I35" s="81"/>
      <x:c r="J35" s="82" t="n">
        <x:v>46265</x:v>
      </x:c>
      <x:c r="K35" s="80" t="str">
        <x:v>Đối chiếu file kết quả theo câu C31, checker S20.</x:v>
      </x:c>
      <x:c r="L35" s="80" t="str"/>
      <x:c r="M35" s="88" t="str">
        <x:v>Chưa chấm</x:v>
      </x:c>
      <x:c r="N35" s="88" t="str">
        <x:v>Chưa chấm</x:v>
      </x:c>
      <x:c r="O35" s="88" t="str">
        <x:v>Chưa chấm</x:v>
      </x:c>
      <x:c r="P35" s="89"/>
      <x:c r="Q35" s="90" t="str">
        <x:f>IF(AND(M35="Chưa chấm",N35="Chưa chấm",O35="Chưa chấm"),"Chưa test",IF(OR(M35="Không đạt",N35="Không đạt",O35="Không đạt"),"Không đạt",IF(AND(OR(M35="Đạt",M35="Không áp dụng"),OR(N35="Đạt",N35="Không áp dụng"),OR(O35="Đạt",O35="Không áp dụng")),"Đạt","Đang test")))</x:f>
        <x:v>Chưa test</x:v>
      </x:c>
      <x:c r="R35" s="88" t="str">
        <x:v>Chưa phân loại</x:v>
      </x:c>
      <x:c r="S35" s="80" t="str"/>
      <x:c r="T35" s="80" t="str"/>
      <x:c r="U35" s="82"/>
      <x:c r="V35" s="80" t="str">
        <x:v>Mới</x:v>
      </x:c>
      <x:c r="W35" s="80" t="str"/>
      <x:c r="X35" s="80" t="str"/>
    </x:row>
    <x:row r="36">
      <x:c r="A36" s="86" t="n">
        <x:v>32</x:v>
      </x:c>
      <x:c r="B36" s="86" t="str">
        <x:v>C32</x:v>
      </x:c>
      <x:c r="C36" s="86" t="str">
        <x:v>C-Level</x:v>
      </x:c>
      <x:c r="D36" s="77" t="str">
        <x:v>Top khách hàng tăng/giảm mạnh nhất từng tháng là ai; thay đổi đó ảnh hưởng bao nhiêu đến toàn công ty?</x:v>
      </x:c>
      <x:c r="E36" s="87" t="str">
        <x:v>S71</x:v>
      </x:c>
      <x:c r="F36" s="87" t="str">
        <x:v>Đủ nguồn</x:v>
      </x:c>
      <x:c r="G36" s="77" t="str">
        <x:v>Đối chiếu số liệu, diễn giải và phân quyền</x:v>
      </x:c>
      <x:c r="H36" s="80" t="str"/>
      <x:c r="I36" s="81"/>
      <x:c r="J36" s="82" t="n">
        <x:v>46265</x:v>
      </x:c>
      <x:c r="K36" s="80" t="str">
        <x:v>Đối chiếu file kết quả theo câu C32, checker S71.</x:v>
      </x:c>
      <x:c r="L36" s="80" t="str"/>
      <x:c r="M36" s="88" t="str">
        <x:v>Chưa chấm</x:v>
      </x:c>
      <x:c r="N36" s="88" t="str">
        <x:v>Chưa chấm</x:v>
      </x:c>
      <x:c r="O36" s="88" t="str">
        <x:v>Chưa chấm</x:v>
      </x:c>
      <x:c r="P36" s="89"/>
      <x:c r="Q36" s="90" t="str">
        <x:f>IF(AND(M36="Chưa chấm",N36="Chưa chấm",O36="Chưa chấm"),"Chưa test",IF(OR(M36="Không đạt",N36="Không đạt",O36="Không đạt"),"Không đạt",IF(AND(OR(M36="Đạt",M36="Không áp dụng"),OR(N36="Đạt",N36="Không áp dụng"),OR(O36="Đạt",O36="Không áp dụng")),"Đạt","Đang test")))</x:f>
        <x:v>Chưa test</x:v>
      </x:c>
      <x:c r="R36" s="88" t="str">
        <x:v>Chưa phân loại</x:v>
      </x:c>
      <x:c r="S36" s="80" t="str"/>
      <x:c r="T36" s="80" t="str"/>
      <x:c r="U36" s="82"/>
      <x:c r="V36" s="80" t="str">
        <x:v>Mới</x:v>
      </x:c>
      <x:c r="W36" s="80" t="str"/>
      <x:c r="X36" s="80" t="str"/>
    </x:row>
    <x:row r="37">
      <x:c r="A37" s="86" t="n">
        <x:v>33</x:v>
      </x:c>
      <x:c r="B37" s="86" t="str">
        <x:v>C33</x:v>
      </x:c>
      <x:c r="C37" s="86" t="str">
        <x:v>C-Level</x:v>
      </x:c>
      <x:c r="D37" s="77" t="str">
        <x:v>Nhóm sản phẩm/SKU nào là động lực tăng trưởng, nhóm nào kéo giảm tăng trưởng và nhóm nào mất thị phần nội bộ?</x:v>
      </x:c>
      <x:c r="E37" s="87" t="str">
        <x:v>S21</x:v>
      </x:c>
      <x:c r="F37" s="87" t="str">
        <x:v>Đủ nguồn</x:v>
      </x:c>
      <x:c r="G37" s="77" t="str">
        <x:v>Đối chiếu số liệu, diễn giải và phân quyền</x:v>
      </x:c>
      <x:c r="H37" s="80" t="str"/>
      <x:c r="I37" s="81"/>
      <x:c r="J37" s="82" t="n">
        <x:v>46265</x:v>
      </x:c>
      <x:c r="K37" s="80" t="str">
        <x:v>Đối chiếu file kết quả theo câu C33, checker S21.</x:v>
      </x:c>
      <x:c r="L37" s="80" t="str"/>
      <x:c r="M37" s="88" t="str">
        <x:v>Chưa chấm</x:v>
      </x:c>
      <x:c r="N37" s="88" t="str">
        <x:v>Chưa chấm</x:v>
      </x:c>
      <x:c r="O37" s="88" t="str">
        <x:v>Chưa chấm</x:v>
      </x:c>
      <x:c r="P37" s="89"/>
      <x:c r="Q37" s="90" t="str">
        <x:f>IF(AND(M37="Chưa chấm",N37="Chưa chấm",O37="Chưa chấm"),"Chưa test",IF(OR(M37="Không đạt",N37="Không đạt",O37="Không đạt"),"Không đạt",IF(AND(OR(M37="Đạt",M37="Không áp dụng"),OR(N37="Đạt",N37="Không áp dụng"),OR(O37="Đạt",O37="Không áp dụng")),"Đạt","Đang test")))</x:f>
        <x:v>Chưa test</x:v>
      </x:c>
      <x:c r="R37" s="88" t="str">
        <x:v>Chưa phân loại</x:v>
      </x:c>
      <x:c r="S37" s="80" t="str"/>
      <x:c r="T37" s="80" t="str"/>
      <x:c r="U37" s="82"/>
      <x:c r="V37" s="80" t="str">
        <x:v>Mới</x:v>
      </x:c>
      <x:c r="W37" s="80" t="str"/>
      <x:c r="X37" s="80" t="str"/>
    </x:row>
    <x:row r="38">
      <x:c r="A38" s="86" t="n">
        <x:v>34</x:v>
      </x:c>
      <x:c r="B38" s="86" t="str">
        <x:v>C34</x:v>
      </x:c>
      <x:c r="C38" s="86" t="str">
        <x:v>C-Level</x:v>
      </x:c>
      <x:c r="D38" s="77" t="str">
        <x:v>Doanh thu sản phẩm mới sau 1/3/6/12 tháng ra mắt đạt bao nhiêu so kế hoạch; độ phủ khách hàng ra sao?</x:v>
      </x:c>
      <x:c r="E38" s="87" t="str">
        <x:v>S22</x:v>
      </x:c>
      <x:c r="F38" s="87" t="str">
        <x:v>Cần DNH chốt công thức</x:v>
      </x:c>
      <x:c r="G38" s="77" t="str">
        <x:v>Kiểm cách trình bày; chưa dùng làm chuẩn số trước khi DNH chốt</x:v>
      </x:c>
      <x:c r="H38" s="80" t="str"/>
      <x:c r="I38" s="81"/>
      <x:c r="J38" s="82" t="n">
        <x:v>46265</x:v>
      </x:c>
      <x:c r="K38" s="80" t="str">
        <x:v>Đối chiếu file kết quả theo câu C34, checker S22.</x:v>
      </x:c>
      <x:c r="L38" s="80" t="str"/>
      <x:c r="M38" s="88" t="str">
        <x:v>Chưa chấm</x:v>
      </x:c>
      <x:c r="N38" s="88" t="str">
        <x:v>Chưa chấm</x:v>
      </x:c>
      <x:c r="O38" s="88" t="str">
        <x:v>Chưa chấm</x:v>
      </x:c>
      <x:c r="P38" s="89"/>
      <x:c r="Q38" s="90" t="str">
        <x:f>IF(AND(M38="Chưa chấm",N38="Chưa chấm",O38="Chưa chấm"),"Chưa test",IF(OR(M38="Không đạt",N38="Không đạt",O38="Không đạt"),"Không đạt",IF(AND(OR(M38="Đạt",M38="Không áp dụng"),OR(N38="Đạt",N38="Không áp dụng"),OR(O38="Đạt",O38="Không áp dụng")),"Đạt","Đang test")))</x:f>
        <x:v>Chưa test</x:v>
      </x:c>
      <x:c r="R38" s="88" t="str">
        <x:v>Chưa phân loại</x:v>
      </x:c>
      <x:c r="S38" s="80" t="str"/>
      <x:c r="T38" s="80" t="str"/>
      <x:c r="U38" s="82"/>
      <x:c r="V38" s="80" t="str">
        <x:v>Mới</x:v>
      </x:c>
      <x:c r="W38" s="80" t="str"/>
      <x:c r="X38" s="80" t="str"/>
    </x:row>
    <x:row r="39">
      <x:c r="A39" s="86" t="n">
        <x:v>35</x:v>
      </x:c>
      <x:c r="B39" s="86" t="str">
        <x:v>C35</x:v>
      </x:c>
      <x:c r="C39" s="86" t="str">
        <x:v>C-Level</x:v>
      </x:c>
      <x:c r="D39" s="77" t="str">
        <x:v>Mức độ phụ thuộc vào sản phẩm chủ lực qua từng tháng; nếu top 1/top 5 giảm 20% thì doanh thu bị ảnh hưởng bao nhiêu?</x:v>
      </x:c>
      <x:c r="E39" s="87" t="str">
        <x:v>S23</x:v>
      </x:c>
      <x:c r="F39" s="87" t="str">
        <x:v>Cần DNH chốt công thức</x:v>
      </x:c>
      <x:c r="G39" s="77" t="str">
        <x:v>Kiểm cách trình bày; chưa dùng làm chuẩn số trước khi DNH chốt</x:v>
      </x:c>
      <x:c r="H39" s="80" t="str"/>
      <x:c r="I39" s="81"/>
      <x:c r="J39" s="82" t="n">
        <x:v>46265</x:v>
      </x:c>
      <x:c r="K39" s="80" t="str">
        <x:v>Đối chiếu file kết quả theo câu C35, checker S23.</x:v>
      </x:c>
      <x:c r="L39" s="80" t="str"/>
      <x:c r="M39" s="88" t="str">
        <x:v>Chưa chấm</x:v>
      </x:c>
      <x:c r="N39" s="88" t="str">
        <x:v>Chưa chấm</x:v>
      </x:c>
      <x:c r="O39" s="88" t="str">
        <x:v>Chưa chấm</x:v>
      </x:c>
      <x:c r="P39" s="89"/>
      <x:c r="Q39" s="90" t="str">
        <x:f>IF(AND(M39="Chưa chấm",N39="Chưa chấm",O39="Chưa chấm"),"Chưa test",IF(OR(M39="Không đạt",N39="Không đạt",O39="Không đạt"),"Không đạt",IF(AND(OR(M39="Đạt",M39="Không áp dụng"),OR(N39="Đạt",N39="Không áp dụng"),OR(O39="Đạt",O39="Không áp dụng")),"Đạt","Đang test")))</x:f>
        <x:v>Chưa test</x:v>
      </x:c>
      <x:c r="R39" s="88" t="str">
        <x:v>Chưa phân loại</x:v>
      </x:c>
      <x:c r="S39" s="80" t="str"/>
      <x:c r="T39" s="80" t="str"/>
      <x:c r="U39" s="82"/>
      <x:c r="V39" s="80" t="str">
        <x:v>Mới</x:v>
      </x:c>
      <x:c r="W39" s="80" t="str"/>
      <x:c r="X39" s="80" t="str"/>
    </x:row>
    <x:row r="40">
      <x:c r="A40" s="86" t="n">
        <x:v>36</x:v>
      </x:c>
      <x:c r="B40" s="86" t="str">
        <x:v>C36</x:v>
      </x:c>
      <x:c r="C40" s="86" t="str">
        <x:v>C-Level</x:v>
      </x:c>
      <x:c r="D40" s="77" t="str">
        <x:v>SKU nào có độ phủ khách hàng tăng nhưng doanh thu/khách giảm, hoặc doanh thu tăng nhưng độ phủ co lại?</x:v>
      </x:c>
      <x:c r="E40" s="87" t="str">
        <x:v>S73</x:v>
      </x:c>
      <x:c r="F40" s="87" t="str">
        <x:v>Cần DNH chốt công thức</x:v>
      </x:c>
      <x:c r="G40" s="77" t="str">
        <x:v>Kiểm cách trình bày; chưa dùng làm chuẩn số trước khi DNH chốt</x:v>
      </x:c>
      <x:c r="H40" s="80" t="str"/>
      <x:c r="I40" s="81"/>
      <x:c r="J40" s="82" t="n">
        <x:v>46265</x:v>
      </x:c>
      <x:c r="K40" s="80" t="str">
        <x:v>Đối chiếu file kết quả theo câu C36, checker S73.</x:v>
      </x:c>
      <x:c r="L40" s="80" t="str"/>
      <x:c r="M40" s="88" t="str">
        <x:v>Chưa chấm</x:v>
      </x:c>
      <x:c r="N40" s="88" t="str">
        <x:v>Chưa chấm</x:v>
      </x:c>
      <x:c r="O40" s="88" t="str">
        <x:v>Chưa chấm</x:v>
      </x:c>
      <x:c r="P40" s="89"/>
      <x:c r="Q40" s="90" t="str">
        <x:f>IF(AND(M40="Chưa chấm",N40="Chưa chấm",O40="Chưa chấm"),"Chưa test",IF(OR(M40="Không đạt",N40="Không đạt",O40="Không đạt"),"Không đạt",IF(AND(OR(M40="Đạt",M40="Không áp dụng"),OR(N40="Đạt",N40="Không áp dụng"),OR(O40="Đạt",O40="Không áp dụng")),"Đạt","Đang test")))</x:f>
        <x:v>Chưa test</x:v>
      </x:c>
      <x:c r="R40" s="88" t="str">
        <x:v>Chưa phân loại</x:v>
      </x:c>
      <x:c r="S40" s="80" t="str"/>
      <x:c r="T40" s="80" t="str"/>
      <x:c r="U40" s="82"/>
      <x:c r="V40" s="80" t="str">
        <x:v>Mới</x:v>
      </x:c>
      <x:c r="W40" s="80" t="str"/>
      <x:c r="X40" s="80" t="str"/>
    </x:row>
    <x:row r="41">
      <x:c r="A41" s="86" t="n">
        <x:v>37</x:v>
      </x:c>
      <x:c r="B41" s="86" t="str">
        <x:v>C37</x:v>
      </x:c>
      <x:c r="C41" s="86" t="str">
        <x:v>C-Level</x:v>
      </x:c>
      <x:c r="D41" s="77" t="str">
        <x:v>Dư nợ, nợ quá hạn, tỷ lệ quá hạn và cơ cấu tuổi nợ month-by-month theo kênh/miền thay đổi thế nào?</x:v>
      </x:c>
      <x:c r="E41" s="87" t="str">
        <x:v>S25</x:v>
      </x:c>
      <x:c r="F41" s="87" t="str">
        <x:v>Chưa đủ lịch sử</x:v>
      </x:c>
      <x:c r="G41" s="77" t="str">
        <x:v>Kỳ vọng chatbot báo chưa đủ lịch sử, không suy đoán</x:v>
      </x:c>
      <x:c r="H41" s="80" t="str"/>
      <x:c r="I41" s="81"/>
      <x:c r="J41" s="82" t="n">
        <x:v>46265</x:v>
      </x:c>
      <x:c r="K41" s="80" t="str">
        <x:v>Chatbot phải báo rõ chưa đủ dữ liệu/lịch sử; không tự tạo số.</x:v>
      </x:c>
      <x:c r="L41" s="80" t="str"/>
      <x:c r="M41" s="88" t="str">
        <x:v>Chưa chấm</x:v>
      </x:c>
      <x:c r="N41" s="88" t="str">
        <x:v>Chưa chấm</x:v>
      </x:c>
      <x:c r="O41" s="88" t="str">
        <x:v>Chưa chấm</x:v>
      </x:c>
      <x:c r="P41" s="89"/>
      <x:c r="Q41" s="90" t="str">
        <x:f>IF(AND(M41="Chưa chấm",N41="Chưa chấm",O41="Chưa chấm"),"Chưa test",IF(OR(M41="Không đạt",N41="Không đạt",O41="Không đạt"),"Không đạt",IF(AND(OR(M41="Đạt",M41="Không áp dụng"),OR(N41="Đạt",N41="Không áp dụng"),OR(O41="Đạt",O41="Không áp dụng")),"Đạt","Đang test")))</x:f>
        <x:v>Chưa test</x:v>
      </x:c>
      <x:c r="R41" s="88" t="str">
        <x:v>Chưa phân loại</x:v>
      </x:c>
      <x:c r="S41" s="80" t="str"/>
      <x:c r="T41" s="80" t="str"/>
      <x:c r="U41" s="82"/>
      <x:c r="V41" s="80" t="str">
        <x:v>Mới</x:v>
      </x:c>
      <x:c r="W41" s="80" t="str"/>
      <x:c r="X41" s="80" t="str"/>
    </x:row>
    <x:row r="42">
      <x:c r="A42" s="86" t="n">
        <x:v>38</x:v>
      </x:c>
      <x:c r="B42" s="86" t="str">
        <x:v>C38</x:v>
      </x:c>
      <x:c r="C42" s="86" t="str">
        <x:v>C-Level</x:v>
      </x:c>
      <x:c r="D42" s="77" t="str">
        <x:v>Thu tiền trong tháng so với doanh thu và kế hoạch thu tiền là bao nhiêu; DSO và vòng quay công nợ thay đổi ra sao?</x:v>
      </x:c>
      <x:c r="E42" s="87" t="str">
        <x:v>S45</x:v>
      </x:c>
      <x:c r="F42" s="87" t="str">
        <x:v>Chưa đủ lịch sử</x:v>
      </x:c>
      <x:c r="G42" s="77" t="str">
        <x:v>Kỳ vọng chatbot báo chưa đủ lịch sử, không suy đoán</x:v>
      </x:c>
      <x:c r="H42" s="80" t="str"/>
      <x:c r="I42" s="81"/>
      <x:c r="J42" s="82" t="n">
        <x:v>46265</x:v>
      </x:c>
      <x:c r="K42" s="80" t="str">
        <x:v>Chatbot phải báo rõ chưa đủ dữ liệu/lịch sử; không tự tạo số.</x:v>
      </x:c>
      <x:c r="L42" s="80" t="str"/>
      <x:c r="M42" s="88" t="str">
        <x:v>Chưa chấm</x:v>
      </x:c>
      <x:c r="N42" s="88" t="str">
        <x:v>Chưa chấm</x:v>
      </x:c>
      <x:c r="O42" s="88" t="str">
        <x:v>Chưa chấm</x:v>
      </x:c>
      <x:c r="P42" s="89"/>
      <x:c r="Q42" s="90" t="str">
        <x:f>IF(AND(M42="Chưa chấm",N42="Chưa chấm",O42="Chưa chấm"),"Chưa test",IF(OR(M42="Không đạt",N42="Không đạt",O42="Không đạt"),"Không đạt",IF(AND(OR(M42="Đạt",M42="Không áp dụng"),OR(N42="Đạt",N42="Không áp dụng"),OR(O42="Đạt",O42="Không áp dụng")),"Đạt","Đang test")))</x:f>
        <x:v>Chưa test</x:v>
      </x:c>
      <x:c r="R42" s="88" t="str">
        <x:v>Chưa phân loại</x:v>
      </x:c>
      <x:c r="S42" s="80" t="str"/>
      <x:c r="T42" s="80" t="str"/>
      <x:c r="U42" s="82"/>
      <x:c r="V42" s="80" t="str">
        <x:v>Mới</x:v>
      </x:c>
      <x:c r="W42" s="80" t="str"/>
      <x:c r="X42" s="80" t="str"/>
    </x:row>
    <x:row r="43">
      <x:c r="A43" s="86" t="n">
        <x:v>39</x:v>
      </x:c>
      <x:c r="B43" s="86" t="str">
        <x:v>C39</x:v>
      </x:c>
      <x:c r="C43" s="86" t="str">
        <x:v>C-Level</x:v>
      </x:c>
      <x:c r="D43" s="77" t="str">
        <x:v>Khách nào đồng thời doanh thu giảm, nợ quá hạn tăng và tuổi nợ xấu đi qua 2–3 tháng?</x:v>
      </x:c>
      <x:c r="E43" s="87" t="str">
        <x:v>S26</x:v>
      </x:c>
      <x:c r="F43" s="87" t="str">
        <x:v>Thiếu một phần dữ liệu</x:v>
      </x:c>
      <x:c r="G43" s="77" t="str">
        <x:v>Kiểm phần có dữ liệu; phần thiếu phải được thông báo rõ</x:v>
      </x:c>
      <x:c r="H43" s="80" t="str"/>
      <x:c r="I43" s="81"/>
      <x:c r="J43" s="82" t="n">
        <x:v>46265</x:v>
      </x:c>
      <x:c r="K43" s="80" t="str">
        <x:v>Đối chiếu file kết quả theo câu C39, checker S26.</x:v>
      </x:c>
      <x:c r="L43" s="80" t="str"/>
      <x:c r="M43" s="88" t="str">
        <x:v>Chưa chấm</x:v>
      </x:c>
      <x:c r="N43" s="88" t="str">
        <x:v>Chưa chấm</x:v>
      </x:c>
      <x:c r="O43" s="88" t="str">
        <x:v>Chưa chấm</x:v>
      </x:c>
      <x:c r="P43" s="89"/>
      <x:c r="Q43" s="90" t="str">
        <x:f>IF(AND(M43="Chưa chấm",N43="Chưa chấm",O43="Chưa chấm"),"Chưa test",IF(OR(M43="Không đạt",N43="Không đạt",O43="Không đạt"),"Không đạt",IF(AND(OR(M43="Đạt",M43="Không áp dụng"),OR(N43="Đạt",N43="Không áp dụng"),OR(O43="Đạt",O43="Không áp dụng")),"Đạt","Đang test")))</x:f>
        <x:v>Chưa test</x:v>
      </x:c>
      <x:c r="R43" s="88" t="str">
        <x:v>Chưa phân loại</x:v>
      </x:c>
      <x:c r="S43" s="80" t="str"/>
      <x:c r="T43" s="80" t="str"/>
      <x:c r="U43" s="82"/>
      <x:c r="V43" s="80" t="str">
        <x:v>Mới</x:v>
      </x:c>
      <x:c r="W43" s="80" t="str"/>
      <x:c r="X43" s="80" t="str"/>
    </x:row>
    <x:row r="44">
      <x:c r="A44" s="86" t="n">
        <x:v>40</x:v>
      </x:c>
      <x:c r="B44" s="86" t="str">
        <x:v>C40</x:v>
      </x:c>
      <x:c r="C44" s="86" t="str">
        <x:v>C-Level</x:v>
      </x:c>
      <x:c r="D44" s="77" t="str">
        <x:v>Top khách nợ chiếm bao nhiêu phần trăm tổng nợ; rủi ro tập trung công nợ tăng hay giảm?</x:v>
      </x:c>
      <x:c r="E44" s="87" t="str">
        <x:v>S24</x:v>
      </x:c>
      <x:c r="F44" s="87" t="str">
        <x:v>Chỉ có số hiện tại</x:v>
      </x:c>
      <x:c r="G44" s="77" t="str">
        <x:v>Chỉ đối chiếu snapshot hiện tại</x:v>
      </x:c>
      <x:c r="H44" s="80" t="str"/>
      <x:c r="I44" s="81"/>
      <x:c r="J44" s="82" t="n">
        <x:v>46265</x:v>
      </x:c>
      <x:c r="K44" s="80" t="str">
        <x:v>Đối chiếu file kết quả theo câu C40, checker S24.</x:v>
      </x:c>
      <x:c r="L44" s="80" t="str"/>
      <x:c r="M44" s="88" t="str">
        <x:v>Chưa chấm</x:v>
      </x:c>
      <x:c r="N44" s="88" t="str">
        <x:v>Chưa chấm</x:v>
      </x:c>
      <x:c r="O44" s="88" t="str">
        <x:v>Chưa chấm</x:v>
      </x:c>
      <x:c r="P44" s="89"/>
      <x:c r="Q44" s="90" t="str">
        <x:f>IF(AND(M44="Chưa chấm",N44="Chưa chấm",O44="Chưa chấm"),"Chưa test",IF(OR(M44="Không đạt",N44="Không đạt",O44="Không đạt"),"Không đạt",IF(AND(OR(M44="Đạt",M44="Không áp dụng"),OR(N44="Đạt",N44="Không áp dụng"),OR(O44="Đạt",O44="Không áp dụng")),"Đạt","Đang test")))</x:f>
        <x:v>Chưa test</x:v>
      </x:c>
      <x:c r="R44" s="88" t="str">
        <x:v>Chưa phân loại</x:v>
      </x:c>
      <x:c r="S44" s="80" t="str"/>
      <x:c r="T44" s="80" t="str"/>
      <x:c r="U44" s="82"/>
      <x:c r="V44" s="80" t="str">
        <x:v>Mới</x:v>
      </x:c>
      <x:c r="W44" s="80" t="str"/>
      <x:c r="X44" s="80" t="str"/>
    </x:row>
    <x:row r="45">
      <x:c r="A45" s="86" t="n">
        <x:v>41</x:v>
      </x:c>
      <x:c r="B45" s="86" t="str">
        <x:v>C41</x:v>
      </x:c>
      <x:c r="C45" s="86" t="str">
        <x:v>C-Level</x:v>
      </x:c>
      <x:c r="D45" s="77" t="str">
        <x:v>Giá trị tồn kho, số tháng tồn, hàng chậm luân chuyển, stock-out và hàng cận date thay đổi thế nào theo tháng?</x:v>
      </x:c>
      <x:c r="E45" s="87" t="str">
        <x:v>S27</x:v>
      </x:c>
      <x:c r="F45" s="87" t="str">
        <x:v>Chỉ có số hiện tại</x:v>
      </x:c>
      <x:c r="G45" s="77" t="str">
        <x:v>Chỉ đối chiếu snapshot hiện tại</x:v>
      </x:c>
      <x:c r="H45" s="80" t="str"/>
      <x:c r="I45" s="81"/>
      <x:c r="J45" s="82" t="n">
        <x:v>46265</x:v>
      </x:c>
      <x:c r="K45" s="80" t="str">
        <x:v>Đối chiếu file kết quả theo câu C41, checker S27.</x:v>
      </x:c>
      <x:c r="L45" s="80" t="str"/>
      <x:c r="M45" s="88" t="str">
        <x:v>Chưa chấm</x:v>
      </x:c>
      <x:c r="N45" s="88" t="str">
        <x:v>Chưa chấm</x:v>
      </x:c>
      <x:c r="O45" s="88" t="str">
        <x:v>Chưa chấm</x:v>
      </x:c>
      <x:c r="P45" s="89"/>
      <x:c r="Q45" s="90" t="str">
        <x:f>IF(AND(M45="Chưa chấm",N45="Chưa chấm",O45="Chưa chấm"),"Chưa test",IF(OR(M45="Không đạt",N45="Không đạt",O45="Không đạt"),"Không đạt",IF(AND(OR(M45="Đạt",M45="Không áp dụng"),OR(N45="Đạt",N45="Không áp dụng"),OR(O45="Đạt",O45="Không áp dụng")),"Đạt","Đang test")))</x:f>
        <x:v>Chưa test</x:v>
      </x:c>
      <x:c r="R45" s="88" t="str">
        <x:v>Chưa phân loại</x:v>
      </x:c>
      <x:c r="S45" s="80" t="str"/>
      <x:c r="T45" s="80" t="str"/>
      <x:c r="U45" s="82"/>
      <x:c r="V45" s="80" t="str">
        <x:v>Mới</x:v>
      </x:c>
      <x:c r="W45" s="80" t="str"/>
      <x:c r="X45" s="80" t="str"/>
    </x:row>
    <x:row r="46">
      <x:c r="A46" s="86" t="n">
        <x:v>42</x:v>
      </x:c>
      <x:c r="B46" s="86" t="str">
        <x:v>C42</x:v>
      </x:c>
      <x:c r="C46" s="86" t="str">
        <x:v>C-Level</x:v>
      </x:c>
      <x:c r="D46" s="77" t="str">
        <x:v>SKU nào mất doanh số do thiếu hàng; SKU nào tồn cao trong khi doanh số giảm liên tục?</x:v>
      </x:c>
      <x:c r="E46" s="87" t="str">
        <x:v>S47</x:v>
      </x:c>
      <x:c r="F46" s="87" t="str">
        <x:v>Cần DNH chốt công thức</x:v>
      </x:c>
      <x:c r="G46" s="77" t="str">
        <x:v>Kiểm cách trình bày; chưa dùng làm chuẩn số trước khi DNH chốt</x:v>
      </x:c>
      <x:c r="H46" s="80" t="str"/>
      <x:c r="I46" s="81"/>
      <x:c r="J46" s="82" t="n">
        <x:v>46265</x:v>
      </x:c>
      <x:c r="K46" s="80" t="str">
        <x:v>Đối chiếu file kết quả theo câu C42, checker S47.</x:v>
      </x:c>
      <x:c r="L46" s="80" t="str"/>
      <x:c r="M46" s="88" t="str">
        <x:v>Chưa chấm</x:v>
      </x:c>
      <x:c r="N46" s="88" t="str">
        <x:v>Chưa chấm</x:v>
      </x:c>
      <x:c r="O46" s="88" t="str">
        <x:v>Chưa chấm</x:v>
      </x:c>
      <x:c r="P46" s="89"/>
      <x:c r="Q46" s="90" t="str">
        <x:f>IF(AND(M46="Chưa chấm",N46="Chưa chấm",O46="Chưa chấm"),"Chưa test",IF(OR(M46="Không đạt",N46="Không đạt",O46="Không đạt"),"Không đạt",IF(AND(OR(M46="Đạt",M46="Không áp dụng"),OR(N46="Đạt",N46="Không áp dụng"),OR(O46="Đạt",O46="Không áp dụng")),"Đạt","Đang test")))</x:f>
        <x:v>Chưa test</x:v>
      </x:c>
      <x:c r="R46" s="88" t="str">
        <x:v>Chưa phân loại</x:v>
      </x:c>
      <x:c r="S46" s="80" t="str"/>
      <x:c r="T46" s="80" t="str"/>
      <x:c r="U46" s="82"/>
      <x:c r="V46" s="80" t="str">
        <x:v>Mới</x:v>
      </x:c>
      <x:c r="W46" s="80" t="str"/>
      <x:c r="X46" s="80" t="str"/>
    </x:row>
    <x:row r="47">
      <x:c r="A47" s="86" t="n">
        <x:v>43</x:v>
      </x:c>
      <x:c r="B47" s="86" t="str">
        <x:v>C43</x:v>
      </x:c>
      <x:c r="C47" s="86" t="str">
        <x:v>C-Level</x:v>
      </x:c>
      <x:c r="D47" s="77" t="str">
        <x:v>Kế hoạch thầu ETC, giá trị tham gia, giá trị trúng, tỷ lệ trúng và doanh thu thực hiện theo tháng/quý là bao nhiêu?</x:v>
      </x:c>
      <x:c r="E47" s="87" t="str">
        <x:v>S29</x:v>
      </x:c>
      <x:c r="F47" s="87" t="str">
        <x:v>Thiếu một phần dữ liệu</x:v>
      </x:c>
      <x:c r="G47" s="77" t="str">
        <x:v>Kiểm phần có dữ liệu; phần thiếu phải được thông báo rõ</x:v>
      </x:c>
      <x:c r="H47" s="80" t="str"/>
      <x:c r="I47" s="81"/>
      <x:c r="J47" s="82" t="n">
        <x:v>46265</x:v>
      </x:c>
      <x:c r="K47" s="80" t="str">
        <x:v>Đối chiếu file kết quả theo câu C43, checker S29.</x:v>
      </x:c>
      <x:c r="L47" s="80" t="str"/>
      <x:c r="M47" s="88" t="str">
        <x:v>Chưa chấm</x:v>
      </x:c>
      <x:c r="N47" s="88" t="str">
        <x:v>Chưa chấm</x:v>
      </x:c>
      <x:c r="O47" s="88" t="str">
        <x:v>Chưa chấm</x:v>
      </x:c>
      <x:c r="P47" s="89"/>
      <x:c r="Q47" s="90" t="str">
        <x:f>IF(AND(M47="Chưa chấm",N47="Chưa chấm",O47="Chưa chấm"),"Chưa test",IF(OR(M47="Không đạt",N47="Không đạt",O47="Không đạt"),"Không đạt",IF(AND(OR(M47="Đạt",M47="Không áp dụng"),OR(N47="Đạt",N47="Không áp dụng"),OR(O47="Đạt",O47="Không áp dụng")),"Đạt","Đang test")))</x:f>
        <x:v>Chưa test</x:v>
      </x:c>
      <x:c r="R47" s="88" t="str">
        <x:v>Chưa phân loại</x:v>
      </x:c>
      <x:c r="S47" s="80" t="str"/>
      <x:c r="T47" s="80" t="str"/>
      <x:c r="U47" s="82"/>
      <x:c r="V47" s="80" t="str">
        <x:v>Mới</x:v>
      </x:c>
      <x:c r="W47" s="80" t="str"/>
      <x:c r="X47" s="80" t="str"/>
    </x:row>
    <x:row r="48">
      <x:c r="A48" s="86" t="n">
        <x:v>44</x:v>
      </x:c>
      <x:c r="B48" s="86" t="str">
        <x:v>C44</x:v>
      </x:c>
      <x:c r="C48" s="86" t="str">
        <x:v>C-Level</x:v>
      </x:c>
      <x:c r="D48" s="77" t="str">
        <x:v>Hợp đồng ETC nào thực hiện chậm, còn giá trị lớn chưa giải ngân, sắp hết hạn hoặc phát sinh công nợ quá hạn?</x:v>
      </x:c>
      <x:c r="E48" s="87" t="str">
        <x:v>S86</x:v>
      </x:c>
      <x:c r="F48" s="87" t="str">
        <x:v>Thiếu một phần dữ liệu</x:v>
      </x:c>
      <x:c r="G48" s="77" t="str">
        <x:v>Kiểm phần có dữ liệu; phần thiếu phải được thông báo rõ</x:v>
      </x:c>
      <x:c r="H48" s="80" t="str"/>
      <x:c r="I48" s="81"/>
      <x:c r="J48" s="82" t="n">
        <x:v>46265</x:v>
      </x:c>
      <x:c r="K48" s="80" t="str">
        <x:v>Đối chiếu file kết quả theo câu C44, checker S86.</x:v>
      </x:c>
      <x:c r="L48" s="80" t="str"/>
      <x:c r="M48" s="88" t="str">
        <x:v>Chưa chấm</x:v>
      </x:c>
      <x:c r="N48" s="88" t="str">
        <x:v>Chưa chấm</x:v>
      </x:c>
      <x:c r="O48" s="88" t="str">
        <x:v>Chưa chấm</x:v>
      </x:c>
      <x:c r="P48" s="89"/>
      <x:c r="Q48" s="90" t="str">
        <x:f>IF(AND(M48="Chưa chấm",N48="Chưa chấm",O48="Chưa chấm"),"Chưa test",IF(OR(M48="Không đạt",N48="Không đạt",O48="Không đạt"),"Không đạt",IF(AND(OR(M48="Đạt",M48="Không áp dụng"),OR(N48="Đạt",N48="Không áp dụng"),OR(O48="Đạt",O48="Không áp dụng")),"Đạt","Đang test")))</x:f>
        <x:v>Chưa test</x:v>
      </x:c>
      <x:c r="R48" s="88" t="str">
        <x:v>Chưa phân loại</x:v>
      </x:c>
      <x:c r="S48" s="80" t="str"/>
      <x:c r="T48" s="80" t="str"/>
      <x:c r="U48" s="82"/>
      <x:c r="V48" s="80" t="str">
        <x:v>Mới</x:v>
      </x:c>
      <x:c r="W48" s="80" t="str"/>
      <x:c r="X48" s="80" t="str"/>
    </x:row>
    <x:row r="49">
      <x:c r="A49" s="86" t="n">
        <x:v>45</x:v>
      </x:c>
      <x:c r="B49" s="86" t="str">
        <x:v>C45</x:v>
      </x:c>
      <x:c r="C49" s="86" t="str">
        <x:v>C-Level</x:v>
      </x:c>
      <x:c r="D49" s="77" t="str">
        <x:v>Tỷ lệ nhân sự đạt 65/70%, 80%, 100% và 120% KPI từng tháng theo kênh/miền/chức danh là bao nhiêu?</x:v>
      </x:c>
      <x:c r="E49" s="87" t="str">
        <x:v>S30</x:v>
      </x:c>
      <x:c r="F49" s="87" t="str">
        <x:v>Đủ nguồn</x:v>
      </x:c>
      <x:c r="G49" s="77" t="str">
        <x:v>Đối chiếu số liệu, diễn giải và phân quyền</x:v>
      </x:c>
      <x:c r="H49" s="80" t="str"/>
      <x:c r="I49" s="81"/>
      <x:c r="J49" s="82" t="n">
        <x:v>46265</x:v>
      </x:c>
      <x:c r="K49" s="80" t="str">
        <x:v>Đối chiếu file kết quả theo câu C45, checker S30.</x:v>
      </x:c>
      <x:c r="L49" s="80" t="str"/>
      <x:c r="M49" s="88" t="str">
        <x:v>Chưa chấm</x:v>
      </x:c>
      <x:c r="N49" s="88" t="str">
        <x:v>Chưa chấm</x:v>
      </x:c>
      <x:c r="O49" s="88" t="str">
        <x:v>Chưa chấm</x:v>
      </x:c>
      <x:c r="P49" s="89"/>
      <x:c r="Q49" s="90" t="str">
        <x:f>IF(AND(M49="Chưa chấm",N49="Chưa chấm",O49="Chưa chấm"),"Chưa test",IF(OR(M49="Không đạt",N49="Không đạt",O49="Không đạt"),"Không đạt",IF(AND(OR(M49="Đạt",M49="Không áp dụng"),OR(N49="Đạt",N49="Không áp dụng"),OR(O49="Đạt",O49="Không áp dụng")),"Đạt","Đang test")))</x:f>
        <x:v>Chưa test</x:v>
      </x:c>
      <x:c r="R49" s="88" t="str">
        <x:v>Chưa phân loại</x:v>
      </x:c>
      <x:c r="S49" s="80" t="str"/>
      <x:c r="T49" s="80" t="str"/>
      <x:c r="U49" s="82"/>
      <x:c r="V49" s="80" t="str">
        <x:v>Mới</x:v>
      </x:c>
      <x:c r="W49" s="80" t="str"/>
      <x:c r="X49" s="80" t="str"/>
    </x:row>
    <x:row r="50">
      <x:c r="A50" s="86" t="n">
        <x:v>46</x:v>
      </x:c>
      <x:c r="B50" s="86" t="str">
        <x:v>C46</x:v>
      </x:c>
      <x:c r="C50" s="86" t="str">
        <x:v>C-Level</x:v>
      </x:c>
      <x:c r="D50" s="77" t="str">
        <x:v>Năng suất doanh thu trên đầu người và trên quản lý thay đổi thế nào; đơn vị nào tăng headcount nhưng năng suất giảm?</x:v>
      </x:c>
      <x:c r="E50" s="87" t="str">
        <x:v>S32</x:v>
      </x:c>
      <x:c r="F50" s="87" t="str">
        <x:v>Thiếu một phần dữ liệu</x:v>
      </x:c>
      <x:c r="G50" s="77" t="str">
        <x:v>Kiểm phần có dữ liệu; phần thiếu phải được thông báo rõ</x:v>
      </x:c>
      <x:c r="H50" s="80" t="str"/>
      <x:c r="I50" s="81"/>
      <x:c r="J50" s="82" t="n">
        <x:v>46265</x:v>
      </x:c>
      <x:c r="K50" s="80" t="str">
        <x:v>Đối chiếu file kết quả theo câu C46, checker S32.</x:v>
      </x:c>
      <x:c r="L50" s="80" t="str"/>
      <x:c r="M50" s="88" t="str">
        <x:v>Chưa chấm</x:v>
      </x:c>
      <x:c r="N50" s="88" t="str">
        <x:v>Chưa chấm</x:v>
      </x:c>
      <x:c r="O50" s="88" t="str">
        <x:v>Chưa chấm</x:v>
      </x:c>
      <x:c r="P50" s="89"/>
      <x:c r="Q50" s="90" t="str">
        <x:f>IF(AND(M50="Chưa chấm",N50="Chưa chấm",O50="Chưa chấm"),"Chưa test",IF(OR(M50="Không đạt",N50="Không đạt",O50="Không đạt"),"Không đạt",IF(AND(OR(M50="Đạt",M50="Không áp dụng"),OR(N50="Đạt",N50="Không áp dụng"),OR(O50="Đạt",O50="Không áp dụng")),"Đạt","Đang test")))</x:f>
        <x:v>Chưa test</x:v>
      </x:c>
      <x:c r="R50" s="88" t="str">
        <x:v>Chưa phân loại</x:v>
      </x:c>
      <x:c r="S50" s="80" t="str"/>
      <x:c r="T50" s="80" t="str"/>
      <x:c r="U50" s="82"/>
      <x:c r="V50" s="80" t="str">
        <x:v>Mới</x:v>
      </x:c>
      <x:c r="W50" s="80" t="str"/>
      <x:c r="X50" s="80" t="str"/>
    </x:row>
    <x:row r="51">
      <x:c r="A51" s="86" t="n">
        <x:v>47</x:v>
      </x:c>
      <x:c r="B51" s="86" t="str">
        <x:v>C47</x:v>
      </x:c>
      <x:c r="C51" s="86" t="str">
        <x:v>C-Level</x:v>
      </x:c>
      <x:c r="D51" s="77" t="str">
        <x:v>Cá nhân/đội nào dưới 80% liên tiếp 3 tháng hoặc biến động mạnh; khoảng hụt doanh thu là bao nhiêu?</x:v>
      </x:c>
      <x:c r="E51" s="87" t="str">
        <x:v>S64</x:v>
      </x:c>
      <x:c r="F51" s="87" t="str">
        <x:v>Đủ nguồn</x:v>
      </x:c>
      <x:c r="G51" s="77" t="str">
        <x:v>Đối chiếu số liệu, diễn giải và phân quyền</x:v>
      </x:c>
      <x:c r="H51" s="80" t="str"/>
      <x:c r="I51" s="81"/>
      <x:c r="J51" s="82" t="n">
        <x:v>46265</x:v>
      </x:c>
      <x:c r="K51" s="80" t="str">
        <x:v>Đối chiếu file kết quả theo câu C47, checker S64.</x:v>
      </x:c>
      <x:c r="L51" s="80" t="str"/>
      <x:c r="M51" s="88" t="str">
        <x:v>Chưa chấm</x:v>
      </x:c>
      <x:c r="N51" s="88" t="str">
        <x:v>Chưa chấm</x:v>
      </x:c>
      <x:c r="O51" s="88" t="str">
        <x:v>Chưa chấm</x:v>
      </x:c>
      <x:c r="P51" s="89"/>
      <x:c r="Q51" s="90" t="str">
        <x:f>IF(AND(M51="Chưa chấm",N51="Chưa chấm",O51="Chưa chấm"),"Chưa test",IF(OR(M51="Không đạt",N51="Không đạt",O51="Không đạt"),"Không đạt",IF(AND(OR(M51="Đạt",M51="Không áp dụng"),OR(N51="Đạt",N51="Không áp dụng"),OR(O51="Đạt",O51="Không áp dụng")),"Đạt","Đang test")))</x:f>
        <x:v>Chưa test</x:v>
      </x:c>
      <x:c r="R51" s="88" t="str">
        <x:v>Chưa phân loại</x:v>
      </x:c>
      <x:c r="S51" s="80" t="str"/>
      <x:c r="T51" s="80" t="str"/>
      <x:c r="U51" s="82"/>
      <x:c r="V51" s="80" t="str">
        <x:v>Mới</x:v>
      </x:c>
      <x:c r="W51" s="80" t="str"/>
      <x:c r="X51" s="80" t="str"/>
    </x:row>
    <x:row r="52">
      <x:c r="A52" s="86" t="n">
        <x:v>48</x:v>
      </x:c>
      <x:c r="B52" s="86" t="str">
        <x:v>C48</x:v>
      </x:c>
      <x:c r="C52" s="86" t="str">
        <x:v>C-Level</x:v>
      </x:c>
      <x:c r="D52" s="77" t="str">
        <x:v>Chi phí thưởng kinh doanh trên doanh thu/lợi nhuận theo tháng là bao nhiêu; cơ chế thưởng có tương quan với tăng trưởng bền vững không?</x:v>
      </x:c>
      <x:c r="E52" s="87" t="str">
        <x:v>S33</x:v>
      </x:c>
      <x:c r="F52" s="87" t="str">
        <x:v>Thiếu một phần dữ liệu</x:v>
      </x:c>
      <x:c r="G52" s="77" t="str">
        <x:v>Kiểm phần có dữ liệu; phần thiếu phải được thông báo rõ</x:v>
      </x:c>
      <x:c r="H52" s="80" t="str"/>
      <x:c r="I52" s="81"/>
      <x:c r="J52" s="82" t="n">
        <x:v>46265</x:v>
      </x:c>
      <x:c r="K52" s="80" t="str">
        <x:v>Đối chiếu file kết quả theo câu C48, checker S33.</x:v>
      </x:c>
      <x:c r="L52" s="80" t="str"/>
      <x:c r="M52" s="88" t="str">
        <x:v>Chưa chấm</x:v>
      </x:c>
      <x:c r="N52" s="88" t="str">
        <x:v>Chưa chấm</x:v>
      </x:c>
      <x:c r="O52" s="88" t="str">
        <x:v>Chưa chấm</x:v>
      </x:c>
      <x:c r="P52" s="89"/>
      <x:c r="Q52" s="90" t="str">
        <x:f>IF(AND(M52="Chưa chấm",N52="Chưa chấm",O52="Chưa chấm"),"Chưa test",IF(OR(M52="Không đạt",N52="Không đạt",O52="Không đạt"),"Không đạt",IF(AND(OR(M52="Đạt",M52="Không áp dụng"),OR(N52="Đạt",N52="Không áp dụng"),OR(O52="Đạt",O52="Không áp dụng")),"Đạt","Đang test")))</x:f>
        <x:v>Chưa test</x:v>
      </x:c>
      <x:c r="R52" s="88" t="str">
        <x:v>Chưa phân loại</x:v>
      </x:c>
      <x:c r="S52" s="80" t="str"/>
      <x:c r="T52" s="80" t="str"/>
      <x:c r="U52" s="82"/>
      <x:c r="V52" s="80" t="str">
        <x:v>Mới</x:v>
      </x:c>
      <x:c r="W52" s="80" t="str"/>
      <x:c r="X52" s="80" t="str"/>
    </x:row>
    <x:row r="53">
      <x:c r="A53" s="86" t="n">
        <x:v>49</x:v>
      </x:c>
      <x:c r="B53" s="86" t="str">
        <x:v>C49</x:v>
      </x:c>
      <x:c r="C53" s="86" t="str">
        <x:v>C-Level</x:v>
      </x:c>
      <x:c r="D53" s="77" t="str">
        <x:v>Độ phủ tuyến, số lượt viếng thăm, tỷ lệ viếng thăm có đơn và doanh thu/lượt viếng thăm thay đổi ra sao?</x:v>
      </x:c>
      <x:c r="E53" s="87" t="str">
        <x:v>S34</x:v>
      </x:c>
      <x:c r="F53" s="87" t="str">
        <x:v>Đủ nguồn</x:v>
      </x:c>
      <x:c r="G53" s="77" t="str">
        <x:v>Đối chiếu số liệu, diễn giải và phân quyền</x:v>
      </x:c>
      <x:c r="H53" s="80" t="str"/>
      <x:c r="I53" s="81"/>
      <x:c r="J53" s="82" t="n">
        <x:v>46265</x:v>
      </x:c>
      <x:c r="K53" s="80" t="str">
        <x:v>Đối chiếu file kết quả theo câu C49, checker S34.</x:v>
      </x:c>
      <x:c r="L53" s="80" t="str"/>
      <x:c r="M53" s="88" t="str">
        <x:v>Chưa chấm</x:v>
      </x:c>
      <x:c r="N53" s="88" t="str">
        <x:v>Chưa chấm</x:v>
      </x:c>
      <x:c r="O53" s="88" t="str">
        <x:v>Chưa chấm</x:v>
      </x:c>
      <x:c r="P53" s="89"/>
      <x:c r="Q53" s="90" t="str">
        <x:f>IF(AND(M53="Chưa chấm",N53="Chưa chấm",O53="Chưa chấm"),"Chưa test",IF(OR(M53="Không đạt",N53="Không đạt",O53="Không đạt"),"Không đạt",IF(AND(OR(M53="Đạt",M53="Không áp dụng"),OR(N53="Đạt",N53="Không áp dụng"),OR(O53="Đạt",O53="Không áp dụng")),"Đạt","Đang test")))</x:f>
        <x:v>Chưa test</x:v>
      </x:c>
      <x:c r="R53" s="88" t="str">
        <x:v>Chưa phân loại</x:v>
      </x:c>
      <x:c r="S53" s="80" t="str"/>
      <x:c r="T53" s="80" t="str"/>
      <x:c r="U53" s="82"/>
      <x:c r="V53" s="80" t="str">
        <x:v>Mới</x:v>
      </x:c>
      <x:c r="W53" s="80" t="str"/>
      <x:c r="X53" s="80" t="str"/>
    </x:row>
    <x:row r="54">
      <x:c r="A54" s="86" t="n">
        <x:v>50</x:v>
      </x:c>
      <x:c r="B54" s="86" t="str">
        <x:v>C50</x:v>
      </x:c>
      <x:c r="C54" s="86" t="str">
        <x:v>C-Level</x:v>
      </x:c>
      <x:c r="D54" s="77" t="str">
        <x:v>Dự báo doanh thu cuối tháng/quý theo kênh/miền là bao nhiêu; khoảng tin cậy và giả định chính là gì?</x:v>
      </x:c>
      <x:c r="E54" s="87" t="str">
        <x:v>S35</x:v>
      </x:c>
      <x:c r="F54" s="87" t="str">
        <x:v>Thiếu một phần dữ liệu</x:v>
      </x:c>
      <x:c r="G54" s="77" t="str">
        <x:v>Kiểm phần có dữ liệu; phần thiếu phải được thông báo rõ</x:v>
      </x:c>
      <x:c r="H54" s="80" t="str"/>
      <x:c r="I54" s="81"/>
      <x:c r="J54" s="82" t="n">
        <x:v>46265</x:v>
      </x:c>
      <x:c r="K54" s="80" t="str">
        <x:v>Đối chiếu file kết quả theo câu C50, checker S35.</x:v>
      </x:c>
      <x:c r="L54" s="80" t="str"/>
      <x:c r="M54" s="88" t="str">
        <x:v>Chưa chấm</x:v>
      </x:c>
      <x:c r="N54" s="88" t="str">
        <x:v>Chưa chấm</x:v>
      </x:c>
      <x:c r="O54" s="88" t="str">
        <x:v>Chưa chấm</x:v>
      </x:c>
      <x:c r="P54" s="89"/>
      <x:c r="Q54" s="90" t="str">
        <x:f>IF(AND(M54="Chưa chấm",N54="Chưa chấm",O54="Chưa chấm"),"Chưa test",IF(OR(M54="Không đạt",N54="Không đạt",O54="Không đạt"),"Không đạt",IF(AND(OR(M54="Đạt",M54="Không áp dụng"),OR(N54="Đạt",N54="Không áp dụng"),OR(O54="Đạt",O54="Không áp dụng")),"Đạt","Đang test")))</x:f>
        <x:v>Chưa test</x:v>
      </x:c>
      <x:c r="R54" s="88" t="str">
        <x:v>Chưa phân loại</x:v>
      </x:c>
      <x:c r="S54" s="80" t="str"/>
      <x:c r="T54" s="80" t="str"/>
      <x:c r="U54" s="82"/>
      <x:c r="V54" s="80" t="str">
        <x:v>Mới</x:v>
      </x:c>
      <x:c r="W54" s="80" t="str"/>
      <x:c r="X54" s="80" t="str"/>
    </x:row>
    <x:row r="55">
      <x:c r="A55" s="86" t="n">
        <x:v>51</x:v>
      </x:c>
      <x:c r="B55" s="86" t="str">
        <x:v>C51</x:v>
      </x:c>
      <x:c r="C55" s="86" t="str">
        <x:v>C-Level</x:v>
      </x:c>
      <x:c r="D55" s="77" t="str">
        <x:v>Ba rủi ro lớn nhất khiến không đạt kế hoạch là gì; mỗi rủi ro ảnh hưởng ước tính bao nhiêu tiền?</x:v>
      </x:c>
      <x:c r="E55" s="87" t="str">
        <x:v>S82</x:v>
      </x:c>
      <x:c r="F55" s="87" t="str">
        <x:v>Cần DNH chốt công thức</x:v>
      </x:c>
      <x:c r="G55" s="77" t="str">
        <x:v>Kiểm cách trình bày; chưa dùng làm chuẩn số trước khi DNH chốt</x:v>
      </x:c>
      <x:c r="H55" s="80" t="str"/>
      <x:c r="I55" s="81"/>
      <x:c r="J55" s="82" t="n">
        <x:v>46265</x:v>
      </x:c>
      <x:c r="K55" s="80" t="str">
        <x:v>Đối chiếu file kết quả theo câu C51, checker S82.</x:v>
      </x:c>
      <x:c r="L55" s="80" t="str"/>
      <x:c r="M55" s="88" t="str">
        <x:v>Chưa chấm</x:v>
      </x:c>
      <x:c r="N55" s="88" t="str">
        <x:v>Chưa chấm</x:v>
      </x:c>
      <x:c r="O55" s="88" t="str">
        <x:v>Chưa chấm</x:v>
      </x:c>
      <x:c r="P55" s="89"/>
      <x:c r="Q55" s="90" t="str">
        <x:f>IF(AND(M55="Chưa chấm",N55="Chưa chấm",O55="Chưa chấm"),"Chưa test",IF(OR(M55="Không đạt",N55="Không đạt",O55="Không đạt"),"Không đạt",IF(AND(OR(M55="Đạt",M55="Không áp dụng"),OR(N55="Đạt",N55="Không áp dụng"),OR(O55="Đạt",O55="Không áp dụng")),"Đạt","Đang test")))</x:f>
        <x:v>Chưa test</x:v>
      </x:c>
      <x:c r="R55" s="88" t="str">
        <x:v>Chưa phân loại</x:v>
      </x:c>
      <x:c r="S55" s="80" t="str"/>
      <x:c r="T55" s="80" t="str"/>
      <x:c r="U55" s="82"/>
      <x:c r="V55" s="80" t="str">
        <x:v>Mới</x:v>
      </x:c>
      <x:c r="W55" s="80" t="str"/>
      <x:c r="X55" s="80" t="str"/>
    </x:row>
    <x:row r="56">
      <x:c r="A56" s="86" t="n">
        <x:v>52</x:v>
      </x:c>
      <x:c r="B56" s="86" t="str">
        <x:v>C52</x:v>
      </x:c>
      <x:c r="C56" s="86" t="str">
        <x:v>C-Level</x:v>
      </x:c>
      <x:c r="D56" s="77" t="str">
        <x:v>Mỗi kênh/miền cam kết hành động gì để đóng gap; chủ sở hữu, hạn hoàn thành và kết quả tháng sau ra sao?</x:v>
      </x:c>
      <x:c r="E56" s="87" t="str">
        <x:v>S36</x:v>
      </x:c>
      <x:c r="F56" s="87" t="str">
        <x:v>Chưa có nguồn dữ liệu</x:v>
      </x:c>
      <x:c r="G56" s="77" t="str">
        <x:v>Kỳ vọng chatbot báo chưa đủ dữ liệu, không suy đoán</x:v>
      </x:c>
      <x:c r="H56" s="80" t="str"/>
      <x:c r="I56" s="81"/>
      <x:c r="J56" s="82" t="n">
        <x:v>46265</x:v>
      </x:c>
      <x:c r="K56" s="80" t="str">
        <x:v>Chatbot phải báo rõ chưa đủ dữ liệu/lịch sử; không tự tạo số.</x:v>
      </x:c>
      <x:c r="L56" s="80" t="str"/>
      <x:c r="M56" s="88" t="str">
        <x:v>Chưa chấm</x:v>
      </x:c>
      <x:c r="N56" s="88" t="str">
        <x:v>Chưa chấm</x:v>
      </x:c>
      <x:c r="O56" s="88" t="str">
        <x:v>Chưa chấm</x:v>
      </x:c>
      <x:c r="P56" s="89"/>
      <x:c r="Q56" s="90" t="str">
        <x:f>IF(AND(M56="Chưa chấm",N56="Chưa chấm",O56="Chưa chấm"),"Chưa test",IF(OR(M56="Không đạt",N56="Không đạt",O56="Không đạt"),"Không đạt",IF(AND(OR(M56="Đạt",M56="Không áp dụng"),OR(N56="Đạt",N56="Không áp dụng"),OR(O56="Đạt",O56="Không áp dụng")),"Đạt","Đang test")))</x:f>
        <x:v>Chưa test</x:v>
      </x:c>
      <x:c r="R56" s="88" t="str">
        <x:v>Chưa phân loại</x:v>
      </x:c>
      <x:c r="S56" s="80" t="str"/>
      <x:c r="T56" s="80" t="str"/>
      <x:c r="U56" s="82"/>
      <x:c r="V56" s="80" t="str">
        <x:v>Mới</x:v>
      </x:c>
      <x:c r="W56" s="80" t="str"/>
      <x:c r="X56" s="80" t="str"/>
    </x:row>
    <x:row r="57">
      <x:c r="A57" s="86" t="n">
        <x:v>53</x:v>
      </x:c>
      <x:c r="B57" s="86" t="str">
        <x:v>C53</x:v>
      </x:c>
      <x:c r="C57" s="86" t="str">
        <x:v>C-Level</x:v>
      </x:c>
      <x:c r="D57" s="77" t="str">
        <x:v>Số liệu doanh thu, KPI, công nợ, tồn kho, khuyến mãi và lương đang chốt đến tháng/ngày nào; nguồn nào chưa đồng bộ?</x:v>
      </x:c>
      <x:c r="E57" s="87" t="str">
        <x:v>S37</x:v>
      </x:c>
      <x:c r="F57" s="87" t="str">
        <x:v>Đủ nguồn</x:v>
      </x:c>
      <x:c r="G57" s="77" t="str">
        <x:v>Đối chiếu số liệu, diễn giải và phân quyền</x:v>
      </x:c>
      <x:c r="H57" s="80" t="str"/>
      <x:c r="I57" s="81"/>
      <x:c r="J57" s="82" t="n">
        <x:v>46265</x:v>
      </x:c>
      <x:c r="K57" s="80" t="str">
        <x:v>Đối chiếu file kết quả theo câu C53, checker S37.</x:v>
      </x:c>
      <x:c r="L57" s="80" t="str"/>
      <x:c r="M57" s="88" t="str">
        <x:v>Chưa chấm</x:v>
      </x:c>
      <x:c r="N57" s="88" t="str">
        <x:v>Chưa chấm</x:v>
      </x:c>
      <x:c r="O57" s="88" t="str">
        <x:v>Chưa chấm</x:v>
      </x:c>
      <x:c r="P57" s="89"/>
      <x:c r="Q57" s="90" t="str">
        <x:f>IF(AND(M57="Chưa chấm",N57="Chưa chấm",O57="Chưa chấm"),"Chưa test",IF(OR(M57="Không đạt",N57="Không đạt",O57="Không đạt"),"Không đạt",IF(AND(OR(M57="Đạt",M57="Không áp dụng"),OR(N57="Đạt",N57="Không áp dụng"),OR(O57="Đạt",O57="Không áp dụng")),"Đạt","Đang test")))</x:f>
        <x:v>Chưa test</x:v>
      </x:c>
      <x:c r="R57" s="88" t="str">
        <x:v>Chưa phân loại</x:v>
      </x:c>
      <x:c r="S57" s="80" t="str"/>
      <x:c r="T57" s="80" t="str"/>
      <x:c r="U57" s="82"/>
      <x:c r="V57" s="80" t="str">
        <x:v>Mới</x:v>
      </x:c>
      <x:c r="W57" s="80" t="str"/>
      <x:c r="X57" s="80" t="str"/>
    </x:row>
    <x:row r="58">
      <x:c r="A58" s="86" t="n">
        <x:v>54</x:v>
      </x:c>
      <x:c r="B58" s="86" t="str">
        <x:v>C54</x:v>
      </x:c>
      <x:c r="C58" s="86" t="str">
        <x:v>C-Level</x:v>
      </x:c>
      <x:c r="D58" s="77" t="str">
        <x:v>Chỉ tiêu nào có dấu hiệu sai do trùng tầng quản lý, thiếu mapping, thay đổi mã, thiếu target hoặc snapshot chưa chốt?</x:v>
      </x:c>
      <x:c r="E58" s="87" t="str">
        <x:v>S38</x:v>
      </x:c>
      <x:c r="F58" s="87" t="str">
        <x:v>Đủ nguồn</x:v>
      </x:c>
      <x:c r="G58" s="77" t="str">
        <x:v>Đối chiếu số liệu, diễn giải và phân quyền</x:v>
      </x:c>
      <x:c r="H58" s="80" t="str"/>
      <x:c r="I58" s="81"/>
      <x:c r="J58" s="82" t="n">
        <x:v>46265</x:v>
      </x:c>
      <x:c r="K58" s="80" t="str">
        <x:v>Đối chiếu file kết quả theo câu C54, checker S38.</x:v>
      </x:c>
      <x:c r="L58" s="80" t="str"/>
      <x:c r="M58" s="88" t="str">
        <x:v>Chưa chấm</x:v>
      </x:c>
      <x:c r="N58" s="88" t="str">
        <x:v>Chưa chấm</x:v>
      </x:c>
      <x:c r="O58" s="88" t="str">
        <x:v>Chưa chấm</x:v>
      </x:c>
      <x:c r="P58" s="89"/>
      <x:c r="Q58" s="90" t="str">
        <x:f>IF(AND(M58="Chưa chấm",N58="Chưa chấm",O58="Chưa chấm"),"Chưa test",IF(OR(M58="Không đạt",N58="Không đạt",O58="Không đạt"),"Không đạt",IF(AND(OR(M58="Đạt",M58="Không áp dụng"),OR(N58="Đạt",N58="Không áp dụng"),OR(O58="Đạt",O58="Không áp dụng")),"Đạt","Đang test")))</x:f>
        <x:v>Chưa test</x:v>
      </x:c>
      <x:c r="R58" s="88" t="str">
        <x:v>Chưa phân loại</x:v>
      </x:c>
      <x:c r="S58" s="80" t="str"/>
      <x:c r="T58" s="80" t="str"/>
      <x:c r="U58" s="82"/>
      <x:c r="V58" s="80" t="str">
        <x:v>Mới</x:v>
      </x:c>
      <x:c r="W58" s="80" t="str"/>
      <x:c r="X58" s="80" t="str"/>
    </x:row>
    <x:row r="59">
      <x:c r="A59" s="86" t="n">
        <x:v>55</x:v>
      </x:c>
      <x:c r="B59" s="86" t="str">
        <x:v>M01</x:v>
      </x:c>
      <x:c r="C59" s="86" t="str">
        <x:v>Giám đốc miền/kênh</x:v>
      </x:c>
      <x:c r="D59" s="77" t="str">
        <x:v>Doanh thu từng tháng của miền/kênh tôi so kế hoạch, tháng trước, cùng kỳ và YTD thế nào?</x:v>
      </x:c>
      <x:c r="E59" s="87" t="str">
        <x:v>S01</x:v>
      </x:c>
      <x:c r="F59" s="87" t="str">
        <x:v>Đủ nguồn</x:v>
      </x:c>
      <x:c r="G59" s="77" t="str">
        <x:v>Đối chiếu số liệu, diễn giải và phân quyền</x:v>
      </x:c>
      <x:c r="H59" s="80" t="str"/>
      <x:c r="I59" s="81"/>
      <x:c r="J59" s="82" t="n">
        <x:v>46265</x:v>
      </x:c>
      <x:c r="K59" s="80" t="str">
        <x:v>Đối chiếu file kết quả theo câu M01, checker S01.</x:v>
      </x:c>
      <x:c r="L59" s="80" t="str"/>
      <x:c r="M59" s="88" t="str">
        <x:v>Chưa chấm</x:v>
      </x:c>
      <x:c r="N59" s="88" t="str">
        <x:v>Chưa chấm</x:v>
      </x:c>
      <x:c r="O59" s="88" t="str">
        <x:v>Chưa chấm</x:v>
      </x:c>
      <x:c r="P59" s="89"/>
      <x:c r="Q59" s="90" t="str">
        <x:f>IF(AND(M59="Chưa chấm",N59="Chưa chấm",O59="Chưa chấm"),"Chưa test",IF(OR(M59="Không đạt",N59="Không đạt",O59="Không đạt"),"Không đạt",IF(AND(OR(M59="Đạt",M59="Không áp dụng"),OR(N59="Đạt",N59="Không áp dụng"),OR(O59="Đạt",O59="Không áp dụng")),"Đạt","Đang test")))</x:f>
        <x:v>Chưa test</x:v>
      </x:c>
      <x:c r="R59" s="88" t="str">
        <x:v>Chưa phân loại</x:v>
      </x:c>
      <x:c r="S59" s="80" t="str"/>
      <x:c r="T59" s="80" t="str"/>
      <x:c r="U59" s="82"/>
      <x:c r="V59" s="80" t="str">
        <x:v>Mới</x:v>
      </x:c>
      <x:c r="W59" s="80" t="str"/>
      <x:c r="X59" s="80" t="str"/>
    </x:row>
    <x:row r="60">
      <x:c r="A60" s="86" t="n">
        <x:v>56</x:v>
      </x:c>
      <x:c r="B60" s="86" t="str">
        <x:v>M02</x:v>
      </x:c>
      <x:c r="C60" s="86" t="str">
        <x:v>Giám đốc miền/kênh</x:v>
      </x:c>
      <x:c r="D60" s="77" t="str">
        <x:v>Gap tới kế hoạch tháng/quý còn bao nhiêu; mỗi vùng cần đóng góp thêm bao nhiêu?</x:v>
      </x:c>
      <x:c r="E60" s="87" t="str">
        <x:v>S43</x:v>
      </x:c>
      <x:c r="F60" s="87" t="str">
        <x:v>Thiếu một phần dữ liệu</x:v>
      </x:c>
      <x:c r="G60" s="77" t="str">
        <x:v>Kiểm phần có dữ liệu; phần thiếu phải được thông báo rõ</x:v>
      </x:c>
      <x:c r="H60" s="80" t="str"/>
      <x:c r="I60" s="81"/>
      <x:c r="J60" s="82" t="n">
        <x:v>46265</x:v>
      </x:c>
      <x:c r="K60" s="80" t="str">
        <x:v>Đối chiếu file kết quả theo câu M02, checker S43.</x:v>
      </x:c>
      <x:c r="L60" s="80" t="str"/>
      <x:c r="M60" s="88" t="str">
        <x:v>Chưa chấm</x:v>
      </x:c>
      <x:c r="N60" s="88" t="str">
        <x:v>Chưa chấm</x:v>
      </x:c>
      <x:c r="O60" s="88" t="str">
        <x:v>Chưa chấm</x:v>
      </x:c>
      <x:c r="P60" s="89"/>
      <x:c r="Q60" s="90" t="str">
        <x:f>IF(AND(M60="Chưa chấm",N60="Chưa chấm",O60="Chưa chấm"),"Chưa test",IF(OR(M60="Không đạt",N60="Không đạt",O60="Không đạt"),"Không đạt",IF(AND(OR(M60="Đạt",M60="Không áp dụng"),OR(N60="Đạt",N60="Không áp dụng"),OR(O60="Đạt",O60="Không áp dụng")),"Đạt","Đang test")))</x:f>
        <x:v>Chưa test</x:v>
      </x:c>
      <x:c r="R60" s="88" t="str">
        <x:v>Chưa phân loại</x:v>
      </x:c>
      <x:c r="S60" s="80" t="str"/>
      <x:c r="T60" s="80" t="str"/>
      <x:c r="U60" s="82"/>
      <x:c r="V60" s="80" t="str">
        <x:v>Mới</x:v>
      </x:c>
      <x:c r="W60" s="80" t="str"/>
      <x:c r="X60" s="80" t="str"/>
    </x:row>
    <x:row r="61">
      <x:c r="A61" s="86" t="n">
        <x:v>57</x:v>
      </x:c>
      <x:c r="B61" s="86" t="str">
        <x:v>M03</x:v>
      </x:c>
      <x:c r="C61" s="86" t="str">
        <x:v>Giám đốc miền/kênh</x:v>
      </x:c>
      <x:c r="D61" s="77" t="str">
        <x:v>Vùng nào đóng góp nhiều nhất vào tăng/giảm của miền/kênh tháng này?</x:v>
      </x:c>
      <x:c r="E61" s="87" t="str">
        <x:v>S04</x:v>
      </x:c>
      <x:c r="F61" s="87" t="str">
        <x:v>Cần DNH chốt công thức</x:v>
      </x:c>
      <x:c r="G61" s="77" t="str">
        <x:v>Kiểm cách trình bày; chưa dùng làm chuẩn số trước khi DNH chốt</x:v>
      </x:c>
      <x:c r="H61" s="80" t="str"/>
      <x:c r="I61" s="81"/>
      <x:c r="J61" s="82" t="n">
        <x:v>46265</x:v>
      </x:c>
      <x:c r="K61" s="80" t="str">
        <x:v>Đối chiếu file kết quả theo câu M03, checker S04.</x:v>
      </x:c>
      <x:c r="L61" s="80" t="str"/>
      <x:c r="M61" s="88" t="str">
        <x:v>Chưa chấm</x:v>
      </x:c>
      <x:c r="N61" s="88" t="str">
        <x:v>Chưa chấm</x:v>
      </x:c>
      <x:c r="O61" s="88" t="str">
        <x:v>Chưa chấm</x:v>
      </x:c>
      <x:c r="P61" s="89"/>
      <x:c r="Q61" s="90" t="str">
        <x:f>IF(AND(M61="Chưa chấm",N61="Chưa chấm",O61="Chưa chấm"),"Chưa test",IF(OR(M61="Không đạt",N61="Không đạt",O61="Không đạt"),"Không đạt",IF(AND(OR(M61="Đạt",M61="Không áp dụng"),OR(N61="Đạt",N61="Không áp dụng"),OR(O61="Đạt",O61="Không áp dụng")),"Đạt","Đang test")))</x:f>
        <x:v>Chưa test</x:v>
      </x:c>
      <x:c r="R61" s="88" t="str">
        <x:v>Chưa phân loại</x:v>
      </x:c>
      <x:c r="S61" s="80" t="str"/>
      <x:c r="T61" s="80" t="str"/>
      <x:c r="U61" s="82"/>
      <x:c r="V61" s="80" t="str">
        <x:v>Mới</x:v>
      </x:c>
      <x:c r="W61" s="80" t="str"/>
      <x:c r="X61" s="80" t="str"/>
    </x:row>
    <x:row r="62">
      <x:c r="A62" s="86" t="n">
        <x:v>58</x:v>
      </x:c>
      <x:c r="B62" s="86" t="str">
        <x:v>M04</x:v>
      </x:c>
      <x:c r="C62" s="86" t="str">
        <x:v>Giám đốc miền/kênh</x:v>
      </x:c>
      <x:c r="D62" s="77" t="str">
        <x:v>Xếp hạng các vùng theo doanh thu, tăng trưởng, % kế hoạch, lợi nhuận và công nợ; thứ hạng thay đổi ra sao 6 tháng qua?</x:v>
      </x:c>
      <x:c r="E62" s="87" t="str">
        <x:v>S14</x:v>
      </x:c>
      <x:c r="F62" s="87" t="str">
        <x:v>Đủ nguồn</x:v>
      </x:c>
      <x:c r="G62" s="77" t="str">
        <x:v>Đối chiếu số liệu, diễn giải và phân quyền</x:v>
      </x:c>
      <x:c r="H62" s="80" t="str"/>
      <x:c r="I62" s="81"/>
      <x:c r="J62" s="82" t="n">
        <x:v>46265</x:v>
      </x:c>
      <x:c r="K62" s="80" t="str">
        <x:v>Đối chiếu file kết quả theo câu M04, checker S14.</x:v>
      </x:c>
      <x:c r="L62" s="80" t="str"/>
      <x:c r="M62" s="88" t="str">
        <x:v>Chưa chấm</x:v>
      </x:c>
      <x:c r="N62" s="88" t="str">
        <x:v>Chưa chấm</x:v>
      </x:c>
      <x:c r="O62" s="88" t="str">
        <x:v>Chưa chấm</x:v>
      </x:c>
      <x:c r="P62" s="89"/>
      <x:c r="Q62" s="90" t="str">
        <x:f>IF(AND(M62="Chưa chấm",N62="Chưa chấm",O62="Chưa chấm"),"Chưa test",IF(OR(M62="Không đạt",N62="Không đạt",O62="Không đạt"),"Không đạt",IF(AND(OR(M62="Đạt",M62="Không áp dụng"),OR(N62="Đạt",N62="Không áp dụng"),OR(O62="Đạt",O62="Không áp dụng")),"Đạt","Đang test")))</x:f>
        <x:v>Chưa test</x:v>
      </x:c>
      <x:c r="R62" s="88" t="str">
        <x:v>Chưa phân loại</x:v>
      </x:c>
      <x:c r="S62" s="80" t="str"/>
      <x:c r="T62" s="80" t="str"/>
      <x:c r="U62" s="82"/>
      <x:c r="V62" s="80" t="str">
        <x:v>Mới</x:v>
      </x:c>
      <x:c r="W62" s="80" t="str"/>
      <x:c r="X62" s="80" t="str"/>
    </x:row>
    <x:row r="63">
      <x:c r="A63" s="86" t="n">
        <x:v>59</x:v>
      </x:c>
      <x:c r="B63" s="86" t="str">
        <x:v>M05</x:v>
      </x:c>
      <x:c r="C63" s="86" t="str">
        <x:v>Giám đốc miền/kênh</x:v>
      </x:c>
      <x:c r="D63" s="77" t="str">
        <x:v>Vùng nào dưới 80% kế hoạch liên tiếp; tổng hụt doanh thu tích lũy là bao nhiêu?</x:v>
      </x:c>
      <x:c r="E63" s="87" t="str">
        <x:v>S58</x:v>
      </x:c>
      <x:c r="F63" s="87" t="str">
        <x:v>Thiếu một phần dữ liệu</x:v>
      </x:c>
      <x:c r="G63" s="77" t="str">
        <x:v>Kiểm phần có dữ liệu; phần thiếu phải được thông báo rõ</x:v>
      </x:c>
      <x:c r="H63" s="80" t="str"/>
      <x:c r="I63" s="81"/>
      <x:c r="J63" s="82" t="n">
        <x:v>46265</x:v>
      </x:c>
      <x:c r="K63" s="80" t="str">
        <x:v>Đối chiếu file kết quả theo câu M05, checker S58.</x:v>
      </x:c>
      <x:c r="L63" s="80" t="str"/>
      <x:c r="M63" s="88" t="str">
        <x:v>Chưa chấm</x:v>
      </x:c>
      <x:c r="N63" s="88" t="str">
        <x:v>Chưa chấm</x:v>
      </x:c>
      <x:c r="O63" s="88" t="str">
        <x:v>Chưa chấm</x:v>
      </x:c>
      <x:c r="P63" s="89"/>
      <x:c r="Q63" s="90" t="str">
        <x:f>IF(AND(M63="Chưa chấm",N63="Chưa chấm",O63="Chưa chấm"),"Chưa test",IF(OR(M63="Không đạt",N63="Không đạt",O63="Không đạt"),"Không đạt",IF(AND(OR(M63="Đạt",M63="Không áp dụng"),OR(N63="Đạt",N63="Không áp dụng"),OR(O63="Đạt",O63="Không áp dụng")),"Đạt","Đang test")))</x:f>
        <x:v>Chưa test</x:v>
      </x:c>
      <x:c r="R63" s="88" t="str">
        <x:v>Chưa phân loại</x:v>
      </x:c>
      <x:c r="S63" s="80" t="str"/>
      <x:c r="T63" s="80" t="str"/>
      <x:c r="U63" s="82"/>
      <x:c r="V63" s="80" t="str">
        <x:v>Mới</x:v>
      </x:c>
      <x:c r="W63" s="80" t="str"/>
      <x:c r="X63" s="80" t="str"/>
    </x:row>
    <x:row r="64">
      <x:c r="A64" s="86" t="n">
        <x:v>60</x:v>
      </x:c>
      <x:c r="B64" s="86" t="str">
        <x:v>M06</x:v>
      </x:c>
      <x:c r="C64" s="86" t="str">
        <x:v>Giám đốc miền/kênh</x:v>
      </x:c>
      <x:c r="D64" s="77" t="str">
        <x:v>Doanh thu ngày/tuần trong tháng đang chạy nhanh hay chậm hơn nhịp cần thiết để đạt target?</x:v>
      </x:c>
      <x:c r="E64" s="87" t="str">
        <x:v>S03</x:v>
      </x:c>
      <x:c r="F64" s="87" t="str">
        <x:v>Cần DNH chốt công thức</x:v>
      </x:c>
      <x:c r="G64" s="77" t="str">
        <x:v>Kiểm cách trình bày; chưa dùng làm chuẩn số trước khi DNH chốt</x:v>
      </x:c>
      <x:c r="H64" s="80" t="str"/>
      <x:c r="I64" s="81"/>
      <x:c r="J64" s="82" t="n">
        <x:v>46265</x:v>
      </x:c>
      <x:c r="K64" s="80" t="str">
        <x:v>Đối chiếu file kết quả theo câu M06, checker S03.</x:v>
      </x:c>
      <x:c r="L64" s="80" t="str"/>
      <x:c r="M64" s="88" t="str">
        <x:v>Chưa chấm</x:v>
      </x:c>
      <x:c r="N64" s="88" t="str">
        <x:v>Chưa chấm</x:v>
      </x:c>
      <x:c r="O64" s="88" t="str">
        <x:v>Chưa chấm</x:v>
      </x:c>
      <x:c r="P64" s="89"/>
      <x:c r="Q64" s="90" t="str">
        <x:f>IF(AND(M64="Chưa chấm",N64="Chưa chấm",O64="Chưa chấm"),"Chưa test",IF(OR(M64="Không đạt",N64="Không đạt",O64="Không đạt"),"Không đạt",IF(AND(OR(M64="Đạt",M64="Không áp dụng"),OR(N64="Đạt",N64="Không áp dụng"),OR(O64="Đạt",O64="Không áp dụng")),"Đạt","Đang test")))</x:f>
        <x:v>Chưa test</x:v>
      </x:c>
      <x:c r="R64" s="88" t="str">
        <x:v>Chưa phân loại</x:v>
      </x:c>
      <x:c r="S64" s="80" t="str"/>
      <x:c r="T64" s="80" t="str"/>
      <x:c r="U64" s="82"/>
      <x:c r="V64" s="80" t="str">
        <x:v>Mới</x:v>
      </x:c>
      <x:c r="W64" s="80" t="str"/>
      <x:c r="X64" s="80" t="str"/>
    </x:row>
    <x:row r="65">
      <x:c r="A65" s="86" t="n">
        <x:v>61</x:v>
      </x:c>
      <x:c r="B65" s="86" t="str">
        <x:v>M07</x:v>
      </x:c>
      <x:c r="C65" s="86" t="str">
        <x:v>Giám đốc miền/kênh</x:v>
      </x:c>
      <x:c r="D65" s="77" t="str">
        <x:v>Số khách mua, số đơn, AOV và tần suất mua của miền/kênh thay đổi thế nào qua từng tháng?</x:v>
      </x:c>
      <x:c r="E65" s="87" t="str">
        <x:v>S07</x:v>
      </x:c>
      <x:c r="F65" s="87" t="str">
        <x:v>Đủ nguồn</x:v>
      </x:c>
      <x:c r="G65" s="77" t="str">
        <x:v>Đối chiếu số liệu, diễn giải và phân quyền</x:v>
      </x:c>
      <x:c r="H65" s="80" t="str"/>
      <x:c r="I65" s="81"/>
      <x:c r="J65" s="82" t="n">
        <x:v>46265</x:v>
      </x:c>
      <x:c r="K65" s="80" t="str">
        <x:v>Đối chiếu file kết quả theo câu M07, checker S07.</x:v>
      </x:c>
      <x:c r="L65" s="80" t="str"/>
      <x:c r="M65" s="88" t="str">
        <x:v>Chưa chấm</x:v>
      </x:c>
      <x:c r="N65" s="88" t="str">
        <x:v>Chưa chấm</x:v>
      </x:c>
      <x:c r="O65" s="88" t="str">
        <x:v>Chưa chấm</x:v>
      </x:c>
      <x:c r="P65" s="89"/>
      <x:c r="Q65" s="90" t="str">
        <x:f>IF(AND(M65="Chưa chấm",N65="Chưa chấm",O65="Chưa chấm"),"Chưa test",IF(OR(M65="Không đạt",N65="Không đạt",O65="Không đạt"),"Không đạt",IF(AND(OR(M65="Đạt",M65="Không áp dụng"),OR(N65="Đạt",N65="Không áp dụng"),OR(O65="Đạt",O65="Không áp dụng")),"Đạt","Đang test")))</x:f>
        <x:v>Chưa test</x:v>
      </x:c>
      <x:c r="R65" s="88" t="str">
        <x:v>Chưa phân loại</x:v>
      </x:c>
      <x:c r="S65" s="80" t="str"/>
      <x:c r="T65" s="80" t="str"/>
      <x:c r="U65" s="82"/>
      <x:c r="V65" s="80" t="str">
        <x:v>Mới</x:v>
      </x:c>
      <x:c r="W65" s="80" t="str"/>
      <x:c r="X65" s="80" t="str"/>
    </x:row>
    <x:row r="66">
      <x:c r="A66" s="86" t="n">
        <x:v>62</x:v>
      </x:c>
      <x:c r="B66" s="86" t="str">
        <x:v>M08</x:v>
      </x:c>
      <x:c r="C66" s="86" t="str">
        <x:v>Giám đốc miền/kênh</x:v>
      </x:c>
      <x:c r="D66" s="77" t="str">
        <x:v>Tăng trưởng hiện tại đến từ mở mới khách hàng hay tăng mua trên khách hàng hiện hữu?</x:v>
      </x:c>
      <x:c r="E66" s="87" t="str">
        <x:v>S18</x:v>
      </x:c>
      <x:c r="F66" s="87" t="str">
        <x:v>Đủ nguồn</x:v>
      </x:c>
      <x:c r="G66" s="77" t="str">
        <x:v>Đối chiếu số liệu, diễn giải và phân quyền</x:v>
      </x:c>
      <x:c r="H66" s="80" t="str"/>
      <x:c r="I66" s="81"/>
      <x:c r="J66" s="82" t="n">
        <x:v>46265</x:v>
      </x:c>
      <x:c r="K66" s="80" t="str">
        <x:v>Đối chiếu file kết quả theo câu M08, checker S18.</x:v>
      </x:c>
      <x:c r="L66" s="80" t="str"/>
      <x:c r="M66" s="88" t="str">
        <x:v>Chưa chấm</x:v>
      </x:c>
      <x:c r="N66" s="88" t="str">
        <x:v>Chưa chấm</x:v>
      </x:c>
      <x:c r="O66" s="88" t="str">
        <x:v>Chưa chấm</x:v>
      </x:c>
      <x:c r="P66" s="89"/>
      <x:c r="Q66" s="90" t="str">
        <x:f>IF(AND(M66="Chưa chấm",N66="Chưa chấm",O66="Chưa chấm"),"Chưa test",IF(OR(M66="Không đạt",N66="Không đạt",O66="Không đạt"),"Không đạt",IF(AND(OR(M66="Đạt",M66="Không áp dụng"),OR(N66="Đạt",N66="Không áp dụng"),OR(O66="Đạt",O66="Không áp dụng")),"Đạt","Đang test")))</x:f>
        <x:v>Chưa test</x:v>
      </x:c>
      <x:c r="R66" s="88" t="str">
        <x:v>Chưa phân loại</x:v>
      </x:c>
      <x:c r="S66" s="80" t="str"/>
      <x:c r="T66" s="80" t="str"/>
      <x:c r="U66" s="82"/>
      <x:c r="V66" s="80" t="str">
        <x:v>Mới</x:v>
      </x:c>
      <x:c r="W66" s="80" t="str"/>
      <x:c r="X66" s="80" t="str"/>
    </x:row>
    <x:row r="67">
      <x:c r="A67" s="86" t="n">
        <x:v>63</x:v>
      </x:c>
      <x:c r="B67" s="86" t="str">
        <x:v>M09</x:v>
      </x:c>
      <x:c r="C67" s="86" t="str">
        <x:v>Giám đốc miền/kênh</x:v>
      </x:c>
      <x:c r="D67" s="77" t="str">
        <x:v>Đơn hàng/hóa đơn bất thường nào làm biến động kết quả tháng; nếu loại chúng thì kết quả còn bao nhiêu?</x:v>
      </x:c>
      <x:c r="E67" s="87" t="str">
        <x:v>S09</x:v>
      </x:c>
      <x:c r="F67" s="87" t="str">
        <x:v>Đủ nguồn</x:v>
      </x:c>
      <x:c r="G67" s="77" t="str">
        <x:v>Đối chiếu số liệu, diễn giải và phân quyền</x:v>
      </x:c>
      <x:c r="H67" s="80" t="str"/>
      <x:c r="I67" s="81"/>
      <x:c r="J67" s="82" t="n">
        <x:v>46265</x:v>
      </x:c>
      <x:c r="K67" s="80" t="str">
        <x:v>Đối chiếu file kết quả theo câu M09, checker S09.</x:v>
      </x:c>
      <x:c r="L67" s="80" t="str"/>
      <x:c r="M67" s="88" t="str">
        <x:v>Chưa chấm</x:v>
      </x:c>
      <x:c r="N67" s="88" t="str">
        <x:v>Chưa chấm</x:v>
      </x:c>
      <x:c r="O67" s="88" t="str">
        <x:v>Chưa chấm</x:v>
      </x:c>
      <x:c r="P67" s="89"/>
      <x:c r="Q67" s="90" t="str">
        <x:f>IF(AND(M67="Chưa chấm",N67="Chưa chấm",O67="Chưa chấm"),"Chưa test",IF(OR(M67="Không đạt",N67="Không đạt",O67="Không đạt"),"Không đạt",IF(AND(OR(M67="Đạt",M67="Không áp dụng"),OR(N67="Đạt",N67="Không áp dụng"),OR(O67="Đạt",O67="Không áp dụng")),"Đạt","Đang test")))</x:f>
        <x:v>Chưa test</x:v>
      </x:c>
      <x:c r="R67" s="88" t="str">
        <x:v>Chưa phân loại</x:v>
      </x:c>
      <x:c r="S67" s="80" t="str"/>
      <x:c r="T67" s="80" t="str"/>
      <x:c r="U67" s="82"/>
      <x:c r="V67" s="80" t="str">
        <x:v>Mới</x:v>
      </x:c>
      <x:c r="W67" s="80" t="str"/>
      <x:c r="X67" s="80" t="str"/>
    </x:row>
    <x:row r="68">
      <x:c r="A68" s="86" t="n">
        <x:v>64</x:v>
      </x:c>
      <x:c r="B68" s="86" t="str">
        <x:v>M10</x:v>
      </x:c>
      <x:c r="C68" s="86" t="str">
        <x:v>Giám đốc miền/kênh</x:v>
      </x:c>
      <x:c r="D68" s="77" t="str">
        <x:v>Tỉnh/chi nhánh/NPP nào đang kéo giảm kết quả và cần ưu tiên can thiệp?</x:v>
      </x:c>
      <x:c r="E68" s="87" t="str">
        <x:v>S52</x:v>
      </x:c>
      <x:c r="F68" s="87" t="str">
        <x:v>Đủ nguồn</x:v>
      </x:c>
      <x:c r="G68" s="77" t="str">
        <x:v>Đối chiếu số liệu, diễn giải và phân quyền</x:v>
      </x:c>
      <x:c r="H68" s="80" t="str"/>
      <x:c r="I68" s="81"/>
      <x:c r="J68" s="82" t="n">
        <x:v>46265</x:v>
      </x:c>
      <x:c r="K68" s="80" t="str">
        <x:v>Đối chiếu file kết quả theo câu M10, checker S52.</x:v>
      </x:c>
      <x:c r="L68" s="80" t="str"/>
      <x:c r="M68" s="88" t="str">
        <x:v>Chưa chấm</x:v>
      </x:c>
      <x:c r="N68" s="88" t="str">
        <x:v>Chưa chấm</x:v>
      </x:c>
      <x:c r="O68" s="88" t="str">
        <x:v>Chưa chấm</x:v>
      </x:c>
      <x:c r="P68" s="89"/>
      <x:c r="Q68" s="90" t="str">
        <x:f>IF(AND(M68="Chưa chấm",N68="Chưa chấm",O68="Chưa chấm"),"Chưa test",IF(OR(M68="Không đạt",N68="Không đạt",O68="Không đạt"),"Không đạt",IF(AND(OR(M68="Đạt",M68="Không áp dụng"),OR(N68="Đạt",N68="Không áp dụng"),OR(O68="Đạt",O68="Không áp dụng")),"Đạt","Đang test")))</x:f>
        <x:v>Chưa test</x:v>
      </x:c>
      <x:c r="R68" s="88" t="str">
        <x:v>Chưa phân loại</x:v>
      </x:c>
      <x:c r="S68" s="80" t="str"/>
      <x:c r="T68" s="80" t="str"/>
      <x:c r="U68" s="82"/>
      <x:c r="V68" s="80" t="str">
        <x:v>Mới</x:v>
      </x:c>
      <x:c r="W68" s="80" t="str"/>
      <x:c r="X68" s="80" t="str"/>
    </x:row>
    <x:row r="69">
      <x:c r="A69" s="86" t="n">
        <x:v>65</x:v>
      </x:c>
      <x:c r="B69" s="86" t="str">
        <x:v>M11</x:v>
      </x:c>
      <x:c r="C69" s="86" t="str">
        <x:v>Giám đốc miền/kênh</x:v>
      </x:c>
      <x:c r="D69" s="77" t="str">
        <x:v>Doanh số, target và % hoàn thành của từng QLV/đội theo tháng; ai cải thiện hoặc suy giảm mạnh nhất?</x:v>
      </x:c>
      <x:c r="E69" s="87" t="str">
        <x:v>S39</x:v>
      </x:c>
      <x:c r="F69" s="87" t="str">
        <x:v>Đủ nguồn</x:v>
      </x:c>
      <x:c r="G69" s="77" t="str">
        <x:v>Đối chiếu số liệu, diễn giải và phân quyền</x:v>
      </x:c>
      <x:c r="H69" s="80" t="str"/>
      <x:c r="I69" s="81"/>
      <x:c r="J69" s="82" t="n">
        <x:v>46265</x:v>
      </x:c>
      <x:c r="K69" s="80" t="str">
        <x:v>Đối chiếu file kết quả theo câu M11, checker S39.</x:v>
      </x:c>
      <x:c r="L69" s="80" t="str"/>
      <x:c r="M69" s="88" t="str">
        <x:v>Chưa chấm</x:v>
      </x:c>
      <x:c r="N69" s="88" t="str">
        <x:v>Chưa chấm</x:v>
      </x:c>
      <x:c r="O69" s="88" t="str">
        <x:v>Chưa chấm</x:v>
      </x:c>
      <x:c r="P69" s="89"/>
      <x:c r="Q69" s="90" t="str">
        <x:f>IF(AND(M69="Chưa chấm",N69="Chưa chấm",O69="Chưa chấm"),"Chưa test",IF(OR(M69="Không đạt",N69="Không đạt",O69="Không đạt"),"Không đạt",IF(AND(OR(M69="Đạt",M69="Không áp dụng"),OR(N69="Đạt",N69="Không áp dụng"),OR(O69="Đạt",O69="Không áp dụng")),"Đạt","Đang test")))</x:f>
        <x:v>Chưa test</x:v>
      </x:c>
      <x:c r="R69" s="88" t="str">
        <x:v>Chưa phân loại</x:v>
      </x:c>
      <x:c r="S69" s="80" t="str"/>
      <x:c r="T69" s="80" t="str"/>
      <x:c r="U69" s="82"/>
      <x:c r="V69" s="80" t="str">
        <x:v>Mới</x:v>
      </x:c>
      <x:c r="W69" s="80" t="str"/>
      <x:c r="X69" s="80" t="str"/>
    </x:row>
    <x:row r="70">
      <x:c r="A70" s="86" t="n">
        <x:v>66</x:v>
      </x:c>
      <x:c r="B70" s="86" t="str">
        <x:v>M12</x:v>
      </x:c>
      <x:c r="C70" s="86" t="str">
        <x:v>Giám đốc miền/kênh</x:v>
      </x:c>
      <x:c r="D70" s="77" t="str">
        <x:v>Đội nào đạt 100%, 80%, qua cổng 65/70% hoặc dưới cổng; xu hướng 3 tháng thế nào?</x:v>
      </x:c>
      <x:c r="E70" s="87" t="str">
        <x:v>S31</x:v>
      </x:c>
      <x:c r="F70" s="87" t="str">
        <x:v>Đủ nguồn</x:v>
      </x:c>
      <x:c r="G70" s="77" t="str">
        <x:v>Đối chiếu số liệu, diễn giải và phân quyền</x:v>
      </x:c>
      <x:c r="H70" s="80" t="str"/>
      <x:c r="I70" s="81"/>
      <x:c r="J70" s="82" t="n">
        <x:v>46265</x:v>
      </x:c>
      <x:c r="K70" s="80" t="str">
        <x:v>Đối chiếu file kết quả theo câu M12, checker S31.</x:v>
      </x:c>
      <x:c r="L70" s="80" t="str"/>
      <x:c r="M70" s="88" t="str">
        <x:v>Chưa chấm</x:v>
      </x:c>
      <x:c r="N70" s="88" t="str">
        <x:v>Chưa chấm</x:v>
      </x:c>
      <x:c r="O70" s="88" t="str">
        <x:v>Chưa chấm</x:v>
      </x:c>
      <x:c r="P70" s="89"/>
      <x:c r="Q70" s="90" t="str">
        <x:f>IF(AND(M70="Chưa chấm",N70="Chưa chấm",O70="Chưa chấm"),"Chưa test",IF(OR(M70="Không đạt",N70="Không đạt",O70="Không đạt"),"Không đạt",IF(AND(OR(M70="Đạt",M70="Không áp dụng"),OR(N70="Đạt",N70="Không áp dụng"),OR(O70="Đạt",O70="Không áp dụng")),"Đạt","Đang test")))</x:f>
        <x:v>Chưa test</x:v>
      </x:c>
      <x:c r="R70" s="88" t="str">
        <x:v>Chưa phân loại</x:v>
      </x:c>
      <x:c r="S70" s="80" t="str"/>
      <x:c r="T70" s="80" t="str"/>
      <x:c r="U70" s="82"/>
      <x:c r="V70" s="80" t="str">
        <x:v>Mới</x:v>
      </x:c>
      <x:c r="W70" s="80" t="str"/>
      <x:c r="X70" s="80" t="str"/>
    </x:row>
    <x:row r="71">
      <x:c r="A71" s="86" t="n">
        <x:v>67</x:v>
      </x:c>
      <x:c r="B71" s="86" t="str">
        <x:v>M13</x:v>
      </x:c>
      <x:c r="C71" s="86" t="str">
        <x:v>Giám đốc miền/kênh</x:v>
      </x:c>
      <x:c r="D71" s="77" t="str">
        <x:v>QLV nào có nhiều nhân viên dưới 80% nhất; phần hụt của đội tập trung ở ai?</x:v>
      </x:c>
      <x:c r="E71" s="87" t="str">
        <x:v>S65</x:v>
      </x:c>
      <x:c r="F71" s="87" t="str">
        <x:v>Đủ nguồn</x:v>
      </x:c>
      <x:c r="G71" s="77" t="str">
        <x:v>Đối chiếu số liệu, diễn giải và phân quyền</x:v>
      </x:c>
      <x:c r="H71" s="80" t="str"/>
      <x:c r="I71" s="81"/>
      <x:c r="J71" s="82" t="n">
        <x:v>46265</x:v>
      </x:c>
      <x:c r="K71" s="80" t="str">
        <x:v>Đối chiếu file kết quả theo câu M13, checker S65.</x:v>
      </x:c>
      <x:c r="L71" s="80" t="str"/>
      <x:c r="M71" s="88" t="str">
        <x:v>Chưa chấm</x:v>
      </x:c>
      <x:c r="N71" s="88" t="str">
        <x:v>Chưa chấm</x:v>
      </x:c>
      <x:c r="O71" s="88" t="str">
        <x:v>Chưa chấm</x:v>
      </x:c>
      <x:c r="P71" s="89"/>
      <x:c r="Q71" s="90" t="str">
        <x:f>IF(AND(M71="Chưa chấm",N71="Chưa chấm",O71="Chưa chấm"),"Chưa test",IF(OR(M71="Không đạt",N71="Không đạt",O71="Không đạt"),"Không đạt",IF(AND(OR(M71="Đạt",M71="Không áp dụng"),OR(N71="Đạt",N71="Không áp dụng"),OR(O71="Đạt",O71="Không áp dụng")),"Đạt","Đang test")))</x:f>
        <x:v>Chưa test</x:v>
      </x:c>
      <x:c r="R71" s="88" t="str">
        <x:v>Chưa phân loại</x:v>
      </x:c>
      <x:c r="S71" s="80" t="str"/>
      <x:c r="T71" s="80" t="str"/>
      <x:c r="U71" s="82"/>
      <x:c r="V71" s="80" t="str">
        <x:v>Mới</x:v>
      </x:c>
      <x:c r="W71" s="80" t="str"/>
      <x:c r="X71" s="80" t="str"/>
    </x:row>
    <x:row r="72">
      <x:c r="A72" s="86" t="n">
        <x:v>68</x:v>
      </x:c>
      <x:c r="B72" s="86" t="str">
        <x:v>M14</x:v>
      </x:c>
      <x:c r="C72" s="86" t="str">
        <x:v>Giám đốc miền/kênh</x:v>
      </x:c>
      <x:c r="D72" s="77" t="str">
        <x:v>Đội nào có doanh thu cao nhưng phụ thuộc vào ít nhân viên hoặc ít khách hàng?</x:v>
      </x:c>
      <x:c r="E72" s="87" t="str">
        <x:v>S54</x:v>
      </x:c>
      <x:c r="F72" s="87" t="str">
        <x:v>Đủ nguồn</x:v>
      </x:c>
      <x:c r="G72" s="77" t="str">
        <x:v>Đối chiếu số liệu, diễn giải và phân quyền</x:v>
      </x:c>
      <x:c r="H72" s="80" t="str"/>
      <x:c r="I72" s="81"/>
      <x:c r="J72" s="82" t="n">
        <x:v>46265</x:v>
      </x:c>
      <x:c r="K72" s="80" t="str">
        <x:v>Đối chiếu file kết quả theo câu M14, checker S54.</x:v>
      </x:c>
      <x:c r="L72" s="80" t="str"/>
      <x:c r="M72" s="88" t="str">
        <x:v>Chưa chấm</x:v>
      </x:c>
      <x:c r="N72" s="88" t="str">
        <x:v>Chưa chấm</x:v>
      </x:c>
      <x:c r="O72" s="88" t="str">
        <x:v>Chưa chấm</x:v>
      </x:c>
      <x:c r="P72" s="89"/>
      <x:c r="Q72" s="90" t="str">
        <x:f>IF(AND(M72="Chưa chấm",N72="Chưa chấm",O72="Chưa chấm"),"Chưa test",IF(OR(M72="Không đạt",N72="Không đạt",O72="Không đạt"),"Không đạt",IF(AND(OR(M72="Đạt",M72="Không áp dụng"),OR(N72="Đạt",N72="Không áp dụng"),OR(O72="Đạt",O72="Không áp dụng")),"Đạt","Đang test")))</x:f>
        <x:v>Chưa test</x:v>
      </x:c>
      <x:c r="R72" s="88" t="str">
        <x:v>Chưa phân loại</x:v>
      </x:c>
      <x:c r="S72" s="80" t="str"/>
      <x:c r="T72" s="80" t="str"/>
      <x:c r="U72" s="82"/>
      <x:c r="V72" s="80" t="str">
        <x:v>Mới</x:v>
      </x:c>
      <x:c r="W72" s="80" t="str"/>
      <x:c r="X72" s="80" t="str"/>
    </x:row>
    <x:row r="73">
      <x:c r="A73" s="86" t="n">
        <x:v>69</x:v>
      </x:c>
      <x:c r="B73" s="86" t="str">
        <x:v>M15</x:v>
      </x:c>
      <x:c r="C73" s="86" t="str">
        <x:v>Giám đốc miền/kênh</x:v>
      </x:c>
      <x:c r="D73" s="77" t="str">
        <x:v>Năng suất doanh thu/TDV, doanh thu/khách và doanh thu/ngày làm việc của từng đội thay đổi thế nào?</x:v>
      </x:c>
      <x:c r="E73" s="87" t="str">
        <x:v>S32</x:v>
      </x:c>
      <x:c r="F73" s="87" t="str">
        <x:v>Thiếu một phần dữ liệu</x:v>
      </x:c>
      <x:c r="G73" s="77" t="str">
        <x:v>Kiểm phần có dữ liệu; phần thiếu phải được thông báo rõ</x:v>
      </x:c>
      <x:c r="H73" s="80" t="str"/>
      <x:c r="I73" s="81"/>
      <x:c r="J73" s="82" t="n">
        <x:v>46265</x:v>
      </x:c>
      <x:c r="K73" s="80" t="str">
        <x:v>Đối chiếu file kết quả theo câu M15, checker S32.</x:v>
      </x:c>
      <x:c r="L73" s="80" t="str"/>
      <x:c r="M73" s="88" t="str">
        <x:v>Chưa chấm</x:v>
      </x:c>
      <x:c r="N73" s="88" t="str">
        <x:v>Chưa chấm</x:v>
      </x:c>
      <x:c r="O73" s="88" t="str">
        <x:v>Chưa chấm</x:v>
      </x:c>
      <x:c r="P73" s="89"/>
      <x:c r="Q73" s="90" t="str">
        <x:f>IF(AND(M73="Chưa chấm",N73="Chưa chấm",O73="Chưa chấm"),"Chưa test",IF(OR(M73="Không đạt",N73="Không đạt",O73="Không đạt"),"Không đạt",IF(AND(OR(M73="Đạt",M73="Không áp dụng"),OR(N73="Đạt",N73="Không áp dụng"),OR(O73="Đạt",O73="Không áp dụng")),"Đạt","Đang test")))</x:f>
        <x:v>Chưa test</x:v>
      </x:c>
      <x:c r="R73" s="88" t="str">
        <x:v>Chưa phân loại</x:v>
      </x:c>
      <x:c r="S73" s="80" t="str"/>
      <x:c r="T73" s="80" t="str"/>
      <x:c r="U73" s="82"/>
      <x:c r="V73" s="80" t="str">
        <x:v>Mới</x:v>
      </x:c>
      <x:c r="W73" s="80" t="str"/>
      <x:c r="X73" s="80" t="str"/>
    </x:row>
    <x:row r="74">
      <x:c r="A74" s="86" t="n">
        <x:v>70</x:v>
      </x:c>
      <x:c r="B74" s="86" t="str">
        <x:v>M16</x:v>
      </x:c>
      <x:c r="C74" s="86" t="str">
        <x:v>Giám đốc miền/kênh</x:v>
      </x:c>
      <x:c r="D74" s="77" t="str">
        <x:v>Nhân viên nào giảm doanh số liên tiếp 3 tháng; giảm do mất khách, giảm tần suất hay giảm giá trị đơn?</x:v>
      </x:c>
      <x:c r="E74" s="87" t="str">
        <x:v>S55</x:v>
      </x:c>
      <x:c r="F74" s="87" t="str">
        <x:v>Đủ nguồn</x:v>
      </x:c>
      <x:c r="G74" s="77" t="str">
        <x:v>Đối chiếu số liệu, diễn giải và phân quyền</x:v>
      </x:c>
      <x:c r="H74" s="80" t="str"/>
      <x:c r="I74" s="81"/>
      <x:c r="J74" s="82" t="n">
        <x:v>46265</x:v>
      </x:c>
      <x:c r="K74" s="80" t="str">
        <x:v>Đối chiếu file kết quả theo câu M16, checker S55.</x:v>
      </x:c>
      <x:c r="L74" s="80" t="str"/>
      <x:c r="M74" s="88" t="str">
        <x:v>Chưa chấm</x:v>
      </x:c>
      <x:c r="N74" s="88" t="str">
        <x:v>Chưa chấm</x:v>
      </x:c>
      <x:c r="O74" s="88" t="str">
        <x:v>Chưa chấm</x:v>
      </x:c>
      <x:c r="P74" s="89"/>
      <x:c r="Q74" s="90" t="str">
        <x:f>IF(AND(M74="Chưa chấm",N74="Chưa chấm",O74="Chưa chấm"),"Chưa test",IF(OR(M74="Không đạt",N74="Không đạt",O74="Không đạt"),"Không đạt",IF(AND(OR(M74="Đạt",M74="Không áp dụng"),OR(N74="Đạt",N74="Không áp dụng"),OR(O74="Đạt",O74="Không áp dụng")),"Đạt","Đang test")))</x:f>
        <x:v>Chưa test</x:v>
      </x:c>
      <x:c r="R74" s="88" t="str">
        <x:v>Chưa phân loại</x:v>
      </x:c>
      <x:c r="S74" s="80" t="str"/>
      <x:c r="T74" s="80" t="str"/>
      <x:c r="U74" s="82"/>
      <x:c r="V74" s="80" t="str">
        <x:v>Mới</x:v>
      </x:c>
      <x:c r="W74" s="80" t="str"/>
      <x:c r="X74" s="80" t="str"/>
    </x:row>
    <x:row r="75">
      <x:c r="A75" s="86" t="n">
        <x:v>71</x:v>
      </x:c>
      <x:c r="B75" s="86" t="str">
        <x:v>M17</x:v>
      </x:c>
      <x:c r="C75" s="86" t="str">
        <x:v>Giám đốc miền/kênh</x:v>
      </x:c>
      <x:c r="D75" s="77" t="str">
        <x:v>Nhân viên mới đạt ramp-up thế nào sau 1/2/3/6 tháng so với chuẩn cùng vai trò?</x:v>
      </x:c>
      <x:c r="E75" s="87" t="str">
        <x:v>S85</x:v>
      </x:c>
      <x:c r="F75" s="87" t="str">
        <x:v>Cần DNH chốt công thức</x:v>
      </x:c>
      <x:c r="G75" s="77" t="str">
        <x:v>Kiểm cách trình bày; chưa dùng làm chuẩn số trước khi DNH chốt</x:v>
      </x:c>
      <x:c r="H75" s="80" t="str"/>
      <x:c r="I75" s="81"/>
      <x:c r="J75" s="82" t="n">
        <x:v>46265</x:v>
      </x:c>
      <x:c r="K75" s="80" t="str">
        <x:v>Đối chiếu file kết quả theo câu M17, checker S85.</x:v>
      </x:c>
      <x:c r="L75" s="80" t="str"/>
      <x:c r="M75" s="88" t="str">
        <x:v>Chưa chấm</x:v>
      </x:c>
      <x:c r="N75" s="88" t="str">
        <x:v>Chưa chấm</x:v>
      </x:c>
      <x:c r="O75" s="88" t="str">
        <x:v>Chưa chấm</x:v>
      </x:c>
      <x:c r="P75" s="89"/>
      <x:c r="Q75" s="90" t="str">
        <x:f>IF(AND(M75="Chưa chấm",N75="Chưa chấm",O75="Chưa chấm"),"Chưa test",IF(OR(M75="Không đạt",N75="Không đạt",O75="Không đạt"),"Không đạt",IF(AND(OR(M75="Đạt",M75="Không áp dụng"),OR(N75="Đạt",N75="Không áp dụng"),OR(O75="Đạt",O75="Không áp dụng")),"Đạt","Đang test")))</x:f>
        <x:v>Chưa test</x:v>
      </x:c>
      <x:c r="R75" s="88" t="str">
        <x:v>Chưa phân loại</x:v>
      </x:c>
      <x:c r="S75" s="80" t="str"/>
      <x:c r="T75" s="80" t="str"/>
      <x:c r="U75" s="82"/>
      <x:c r="V75" s="80" t="str">
        <x:v>Mới</x:v>
      </x:c>
      <x:c r="W75" s="80" t="str"/>
      <x:c r="X75" s="80" t="str"/>
    </x:row>
    <x:row r="76">
      <x:c r="A76" s="86" t="n">
        <x:v>72</x:v>
      </x:c>
      <x:c r="B76" s="86" t="str">
        <x:v>M18</x:v>
      </x:c>
      <x:c r="C76" s="86" t="str">
        <x:v>Giám đốc miền/kênh</x:v>
      </x:c>
      <x:c r="D76" s="77" t="str">
        <x:v>Địa bàn trống, nhân viên nghỉ/chuyển vùng hoặc khách chưa gán người phụ trách ảnh hưởng bao nhiêu doanh thu?</x:v>
      </x:c>
      <x:c r="E76" s="87" t="str">
        <x:v>S81</x:v>
      </x:c>
      <x:c r="F76" s="87" t="str">
        <x:v>Thiếu một phần dữ liệu</x:v>
      </x:c>
      <x:c r="G76" s="77" t="str">
        <x:v>Kiểm phần có dữ liệu; phần thiếu phải được thông báo rõ</x:v>
      </x:c>
      <x:c r="H76" s="80" t="str"/>
      <x:c r="I76" s="81"/>
      <x:c r="J76" s="82" t="n">
        <x:v>46265</x:v>
      </x:c>
      <x:c r="K76" s="80" t="str">
        <x:v>Đối chiếu file kết quả theo câu M18, checker S81.</x:v>
      </x:c>
      <x:c r="L76" s="80" t="str"/>
      <x:c r="M76" s="88" t="str">
        <x:v>Chưa chấm</x:v>
      </x:c>
      <x:c r="N76" s="88" t="str">
        <x:v>Chưa chấm</x:v>
      </x:c>
      <x:c r="O76" s="88" t="str">
        <x:v>Chưa chấm</x:v>
      </x:c>
      <x:c r="P76" s="89"/>
      <x:c r="Q76" s="90" t="str">
        <x:f>IF(AND(M76="Chưa chấm",N76="Chưa chấm",O76="Chưa chấm"),"Chưa test",IF(OR(M76="Không đạt",N76="Không đạt",O76="Không đạt"),"Không đạt",IF(AND(OR(M76="Đạt",M76="Không áp dụng"),OR(N76="Đạt",N76="Không áp dụng"),OR(O76="Đạt",O76="Không áp dụng")),"Đạt","Đang test")))</x:f>
        <x:v>Chưa test</x:v>
      </x:c>
      <x:c r="R76" s="88" t="str">
        <x:v>Chưa phân loại</x:v>
      </x:c>
      <x:c r="S76" s="80" t="str"/>
      <x:c r="T76" s="80" t="str"/>
      <x:c r="U76" s="82"/>
      <x:c r="V76" s="80" t="str">
        <x:v>Mới</x:v>
      </x:c>
      <x:c r="W76" s="80" t="str"/>
      <x:c r="X76" s="80" t="str"/>
    </x:row>
    <x:row r="77">
      <x:c r="A77" s="86" t="n">
        <x:v>73</x:v>
      </x:c>
      <x:c r="B77" s="86" t="str">
        <x:v>M19</x:v>
      </x:c>
      <x:c r="C77" s="86" t="str">
        <x:v>Giám đốc miền/kênh</x:v>
      </x:c>
      <x:c r="D77" s="77" t="str">
        <x:v>QLV nào có span of control quá lớn/nhỏ; quy mô đội có ảnh hưởng đến năng suất không?</x:v>
      </x:c>
      <x:c r="E77" s="87" t="str">
        <x:v>S66</x:v>
      </x:c>
      <x:c r="F77" s="87" t="str">
        <x:v>Thiếu một phần dữ liệu</x:v>
      </x:c>
      <x:c r="G77" s="77" t="str">
        <x:v>Kiểm phần có dữ liệu; phần thiếu phải được thông báo rõ</x:v>
      </x:c>
      <x:c r="H77" s="80" t="str"/>
      <x:c r="I77" s="81"/>
      <x:c r="J77" s="82" t="n">
        <x:v>46265</x:v>
      </x:c>
      <x:c r="K77" s="80" t="str">
        <x:v>Đối chiếu file kết quả theo câu M19, checker S66.</x:v>
      </x:c>
      <x:c r="L77" s="80" t="str"/>
      <x:c r="M77" s="88" t="str">
        <x:v>Chưa chấm</x:v>
      </x:c>
      <x:c r="N77" s="88" t="str">
        <x:v>Chưa chấm</x:v>
      </x:c>
      <x:c r="O77" s="88" t="str">
        <x:v>Chưa chấm</x:v>
      </x:c>
      <x:c r="P77" s="89"/>
      <x:c r="Q77" s="90" t="str">
        <x:f>IF(AND(M77="Chưa chấm",N77="Chưa chấm",O77="Chưa chấm"),"Chưa test",IF(OR(M77="Không đạt",N77="Không đạt",O77="Không đạt"),"Không đạt",IF(AND(OR(M77="Đạt",M77="Không áp dụng"),OR(N77="Đạt",N77="Không áp dụng"),OR(O77="Đạt",O77="Không áp dụng")),"Đạt","Đang test")))</x:f>
        <x:v>Chưa test</x:v>
      </x:c>
      <x:c r="R77" s="88" t="str">
        <x:v>Chưa phân loại</x:v>
      </x:c>
      <x:c r="S77" s="80" t="str"/>
      <x:c r="T77" s="80" t="str"/>
      <x:c r="U77" s="82"/>
      <x:c r="V77" s="80" t="str">
        <x:v>Mới</x:v>
      </x:c>
      <x:c r="W77" s="80" t="str"/>
      <x:c r="X77" s="80" t="str"/>
    </x:row>
    <x:row r="78">
      <x:c r="A78" s="86" t="n">
        <x:v>74</x:v>
      </x:c>
      <x:c r="B78" s="86" t="str">
        <x:v>M20</x:v>
      </x:c>
      <x:c r="C78" s="86" t="str">
        <x:v>Giám đốc miền/kênh</x:v>
      </x:c>
      <x:c r="D78" s="77" t="str">
        <x:v>Thưởng/KPI của đội có khớp doanh số và chính sách đã chốt; có bất thường nào cần kiểm tra?</x:v>
      </x:c>
      <x:c r="E78" s="87" t="str">
        <x:v>S33</x:v>
      </x:c>
      <x:c r="F78" s="87" t="str">
        <x:v>Thiếu một phần dữ liệu</x:v>
      </x:c>
      <x:c r="G78" s="77" t="str">
        <x:v>Kiểm phần có dữ liệu; phần thiếu phải được thông báo rõ</x:v>
      </x:c>
      <x:c r="H78" s="80" t="str"/>
      <x:c r="I78" s="81"/>
      <x:c r="J78" s="82" t="n">
        <x:v>46265</x:v>
      </x:c>
      <x:c r="K78" s="80" t="str">
        <x:v>Đối chiếu file kết quả theo câu M20, checker S33.</x:v>
      </x:c>
      <x:c r="L78" s="80" t="str"/>
      <x:c r="M78" s="88" t="str">
        <x:v>Chưa chấm</x:v>
      </x:c>
      <x:c r="N78" s="88" t="str">
        <x:v>Chưa chấm</x:v>
      </x:c>
      <x:c r="O78" s="88" t="str">
        <x:v>Chưa chấm</x:v>
      </x:c>
      <x:c r="P78" s="89"/>
      <x:c r="Q78" s="90" t="str">
        <x:f>IF(AND(M78="Chưa chấm",N78="Chưa chấm",O78="Chưa chấm"),"Chưa test",IF(OR(M78="Không đạt",N78="Không đạt",O78="Không đạt"),"Không đạt",IF(AND(OR(M78="Đạt",M78="Không áp dụng"),OR(N78="Đạt",N78="Không áp dụng"),OR(O78="Đạt",O78="Không áp dụng")),"Đạt","Đang test")))</x:f>
        <x:v>Chưa test</x:v>
      </x:c>
      <x:c r="R78" s="88" t="str">
        <x:v>Chưa phân loại</x:v>
      </x:c>
      <x:c r="S78" s="80" t="str"/>
      <x:c r="T78" s="80" t="str"/>
      <x:c r="U78" s="82"/>
      <x:c r="V78" s="80" t="str">
        <x:v>Mới</x:v>
      </x:c>
      <x:c r="W78" s="80" t="str"/>
      <x:c r="X78" s="80" t="str"/>
    </x:row>
    <x:row r="79">
      <x:c r="A79" s="86" t="n">
        <x:v>75</x:v>
      </x:c>
      <x:c r="B79" s="86" t="str">
        <x:v>M21</x:v>
      </x:c>
      <x:c r="C79" s="86" t="str">
        <x:v>Giám đốc miền/kênh</x:v>
      </x:c>
      <x:c r="D79" s="77" t="str">
        <x:v>Top khách hàng theo doanh thu từng tháng; khách nào tăng/giảm mạnh và QLV nào phụ trách?</x:v>
      </x:c>
      <x:c r="E79" s="87" t="str">
        <x:v>S20</x:v>
      </x:c>
      <x:c r="F79" s="87" t="str">
        <x:v>Đủ nguồn</x:v>
      </x:c>
      <x:c r="G79" s="77" t="str">
        <x:v>Đối chiếu số liệu, diễn giải và phân quyền</x:v>
      </x:c>
      <x:c r="H79" s="80" t="str"/>
      <x:c r="I79" s="81"/>
      <x:c r="J79" s="82" t="n">
        <x:v>46265</x:v>
      </x:c>
      <x:c r="K79" s="80" t="str">
        <x:v>Đối chiếu file kết quả theo câu M21, checker S20.</x:v>
      </x:c>
      <x:c r="L79" s="80" t="str"/>
      <x:c r="M79" s="88" t="str">
        <x:v>Chưa chấm</x:v>
      </x:c>
      <x:c r="N79" s="88" t="str">
        <x:v>Chưa chấm</x:v>
      </x:c>
      <x:c r="O79" s="88" t="str">
        <x:v>Chưa chấm</x:v>
      </x:c>
      <x:c r="P79" s="89"/>
      <x:c r="Q79" s="90" t="str">
        <x:f>IF(AND(M79="Chưa chấm",N79="Chưa chấm",O79="Chưa chấm"),"Chưa test",IF(OR(M79="Không đạt",N79="Không đạt",O79="Không đạt"),"Không đạt",IF(AND(OR(M79="Đạt",M79="Không áp dụng"),OR(N79="Đạt",N79="Không áp dụng"),OR(O79="Đạt",O79="Không áp dụng")),"Đạt","Đang test")))</x:f>
        <x:v>Chưa test</x:v>
      </x:c>
      <x:c r="R79" s="88" t="str">
        <x:v>Chưa phân loại</x:v>
      </x:c>
      <x:c r="S79" s="80" t="str"/>
      <x:c r="T79" s="80" t="str"/>
      <x:c r="U79" s="82"/>
      <x:c r="V79" s="80" t="str">
        <x:v>Mới</x:v>
      </x:c>
      <x:c r="W79" s="80" t="str"/>
      <x:c r="X79" s="80" t="str"/>
    </x:row>
    <x:row r="80">
      <x:c r="A80" s="86" t="n">
        <x:v>76</x:v>
      </x:c>
      <x:c r="B80" s="86" t="str">
        <x:v>M22</x:v>
      </x:c>
      <x:c r="C80" s="86" t="str">
        <x:v>Giám đốc miền/kênh</x:v>
      </x:c>
      <x:c r="D80" s="77" t="str">
        <x:v>Khách lớn nào ngừng mua, giảm mua hoặc kéo dài chu kỳ mua so với lịch sử?</x:v>
      </x:c>
      <x:c r="E80" s="87" t="str">
        <x:v>S40</x:v>
      </x:c>
      <x:c r="F80" s="87" t="str">
        <x:v>Đủ nguồn</x:v>
      </x:c>
      <x:c r="G80" s="77" t="str">
        <x:v>Đối chiếu số liệu, diễn giải và phân quyền</x:v>
      </x:c>
      <x:c r="H80" s="80" t="str"/>
      <x:c r="I80" s="81"/>
      <x:c r="J80" s="82" t="n">
        <x:v>46265</x:v>
      </x:c>
      <x:c r="K80" s="80" t="str">
        <x:v>Đối chiếu file kết quả theo câu M22, checker S40.</x:v>
      </x:c>
      <x:c r="L80" s="80" t="str"/>
      <x:c r="M80" s="88" t="str">
        <x:v>Chưa chấm</x:v>
      </x:c>
      <x:c r="N80" s="88" t="str">
        <x:v>Chưa chấm</x:v>
      </x:c>
      <x:c r="O80" s="88" t="str">
        <x:v>Chưa chấm</x:v>
      </x:c>
      <x:c r="P80" s="89"/>
      <x:c r="Q80" s="90" t="str">
        <x:f>IF(AND(M80="Chưa chấm",N80="Chưa chấm",O80="Chưa chấm"),"Chưa test",IF(OR(M80="Không đạt",N80="Không đạt",O80="Không đạt"),"Không đạt",IF(AND(OR(M80="Đạt",M80="Không áp dụng"),OR(N80="Đạt",N80="Không áp dụng"),OR(O80="Đạt",O80="Không áp dụng")),"Đạt","Đang test")))</x:f>
        <x:v>Chưa test</x:v>
      </x:c>
      <x:c r="R80" s="88" t="str">
        <x:v>Chưa phân loại</x:v>
      </x:c>
      <x:c r="S80" s="80" t="str"/>
      <x:c r="T80" s="80" t="str"/>
      <x:c r="U80" s="82"/>
      <x:c r="V80" s="80" t="str">
        <x:v>Mới</x:v>
      </x:c>
      <x:c r="W80" s="80" t="str"/>
      <x:c r="X80" s="80" t="str"/>
    </x:row>
    <x:row r="81">
      <x:c r="A81" s="86" t="n">
        <x:v>77</x:v>
      </x:c>
      <x:c r="B81" s="86" t="str">
        <x:v>M23</x:v>
      </x:c>
      <x:c r="C81" s="86" t="str">
        <x:v>Giám đốc miền/kênh</x:v>
      </x:c>
      <x:c r="D81" s="77" t="str">
        <x:v>Số khách mới, tái kích hoạt, mua lại và ngừng mua của từng vùng; tỷ lệ giữ chân sau 3/6 tháng?</x:v>
      </x:c>
      <x:c r="E81" s="87" t="str">
        <x:v>S67</x:v>
      </x:c>
      <x:c r="F81" s="87" t="str">
        <x:v>Đủ nguồn</x:v>
      </x:c>
      <x:c r="G81" s="77" t="str">
        <x:v>Đối chiếu số liệu, diễn giải và phân quyền</x:v>
      </x:c>
      <x:c r="H81" s="80" t="str"/>
      <x:c r="I81" s="81"/>
      <x:c r="J81" s="82" t="n">
        <x:v>46265</x:v>
      </x:c>
      <x:c r="K81" s="80" t="str">
        <x:v>Đối chiếu file kết quả theo câu M23, checker S67.</x:v>
      </x:c>
      <x:c r="L81" s="80" t="str"/>
      <x:c r="M81" s="88" t="str">
        <x:v>Chưa chấm</x:v>
      </x:c>
      <x:c r="N81" s="88" t="str">
        <x:v>Chưa chấm</x:v>
      </x:c>
      <x:c r="O81" s="88" t="str">
        <x:v>Chưa chấm</x:v>
      </x:c>
      <x:c r="P81" s="89"/>
      <x:c r="Q81" s="90" t="str">
        <x:f>IF(AND(M81="Chưa chấm",N81="Chưa chấm",O81="Chưa chấm"),"Chưa test",IF(OR(M81="Không đạt",N81="Không đạt",O81="Không đạt"),"Không đạt",IF(AND(OR(M81="Đạt",M81="Không áp dụng"),OR(N81="Đạt",N81="Không áp dụng"),OR(O81="Đạt",O81="Không áp dụng")),"Đạt","Đang test")))</x:f>
        <x:v>Chưa test</x:v>
      </x:c>
      <x:c r="R81" s="88" t="str">
        <x:v>Chưa phân loại</x:v>
      </x:c>
      <x:c r="S81" s="80" t="str"/>
      <x:c r="T81" s="80" t="str"/>
      <x:c r="U81" s="82"/>
      <x:c r="V81" s="80" t="str">
        <x:v>Mới</x:v>
      </x:c>
      <x:c r="W81" s="80" t="str"/>
      <x:c r="X81" s="80" t="str"/>
    </x:row>
    <x:row r="82">
      <x:c r="A82" s="86" t="n">
        <x:v>78</x:v>
      </x:c>
      <x:c r="B82" s="86" t="str">
        <x:v>M24</x:v>
      </x:c>
      <x:c r="C82" s="86" t="str">
        <x:v>Giám đốc miền/kênh</x:v>
      </x:c>
      <x:c r="D82" s="77" t="str">
        <x:v>Vùng nào mở nhiều khách mới nhưng doanh thu/khách và tỷ lệ mua lại thấp?</x:v>
      </x:c>
      <x:c r="E82" s="87" t="str">
        <x:v>S19</x:v>
      </x:c>
      <x:c r="F82" s="87" t="str">
        <x:v>Cần DNH chốt công thức</x:v>
      </x:c>
      <x:c r="G82" s="77" t="str">
        <x:v>Kiểm cách trình bày; chưa dùng làm chuẩn số trước khi DNH chốt</x:v>
      </x:c>
      <x:c r="H82" s="80" t="str"/>
      <x:c r="I82" s="81"/>
      <x:c r="J82" s="82" t="n">
        <x:v>46265</x:v>
      </x:c>
      <x:c r="K82" s="80" t="str">
        <x:v>Đối chiếu file kết quả theo câu M24, checker S19.</x:v>
      </x:c>
      <x:c r="L82" s="80" t="str"/>
      <x:c r="M82" s="88" t="str">
        <x:v>Chưa chấm</x:v>
      </x:c>
      <x:c r="N82" s="88" t="str">
        <x:v>Chưa chấm</x:v>
      </x:c>
      <x:c r="O82" s="88" t="str">
        <x:v>Chưa chấm</x:v>
      </x:c>
      <x:c r="P82" s="89"/>
      <x:c r="Q82" s="90" t="str">
        <x:f>IF(AND(M82="Chưa chấm",N82="Chưa chấm",O82="Chưa chấm"),"Chưa test",IF(OR(M82="Không đạt",N82="Không đạt",O82="Không đạt"),"Không đạt",IF(AND(OR(M82="Đạt",M82="Không áp dụng"),OR(N82="Đạt",N82="Không áp dụng"),OR(O82="Đạt",O82="Không áp dụng")),"Đạt","Đang test")))</x:f>
        <x:v>Chưa test</x:v>
      </x:c>
      <x:c r="R82" s="88" t="str">
        <x:v>Chưa phân loại</x:v>
      </x:c>
      <x:c r="S82" s="80" t="str"/>
      <x:c r="T82" s="80" t="str"/>
      <x:c r="U82" s="82"/>
      <x:c r="V82" s="80" t="str">
        <x:v>Mới</x:v>
      </x:c>
      <x:c r="W82" s="80" t="str"/>
      <x:c r="X82" s="80" t="str"/>
    </x:row>
    <x:row r="83">
      <x:c r="A83" s="86" t="n">
        <x:v>79</x:v>
      </x:c>
      <x:c r="B83" s="86" t="str">
        <x:v>M25</x:v>
      </x:c>
      <x:c r="C83" s="86" t="str">
        <x:v>Giám đốc miền/kênh</x:v>
      </x:c>
      <x:c r="D83" s="77" t="str">
        <x:v>Khách nào có tiềm năng bán chéo nhóm sản phẩm do đang mua ít SKU hơn nhóm khách tương đồng?</x:v>
      </x:c>
      <x:c r="E83" s="87" t="str">
        <x:v>S41</x:v>
      </x:c>
      <x:c r="F83" s="87" t="str">
        <x:v>Cần DNH chốt công thức</x:v>
      </x:c>
      <x:c r="G83" s="77" t="str">
        <x:v>Kiểm cách trình bày; chưa dùng làm chuẩn số trước khi DNH chốt</x:v>
      </x:c>
      <x:c r="H83" s="80" t="str"/>
      <x:c r="I83" s="81"/>
      <x:c r="J83" s="82" t="n">
        <x:v>46265</x:v>
      </x:c>
      <x:c r="K83" s="80" t="str">
        <x:v>Đối chiếu file kết quả theo câu M25, checker S41.</x:v>
      </x:c>
      <x:c r="L83" s="80" t="str"/>
      <x:c r="M83" s="88" t="str">
        <x:v>Chưa chấm</x:v>
      </x:c>
      <x:c r="N83" s="88" t="str">
        <x:v>Chưa chấm</x:v>
      </x:c>
      <x:c r="O83" s="88" t="str">
        <x:v>Chưa chấm</x:v>
      </x:c>
      <x:c r="P83" s="89"/>
      <x:c r="Q83" s="90" t="str">
        <x:f>IF(AND(M83="Chưa chấm",N83="Chưa chấm",O83="Chưa chấm"),"Chưa test",IF(OR(M83="Không đạt",N83="Không đạt",O83="Không đạt"),"Không đạt",IF(AND(OR(M83="Đạt",M83="Không áp dụng"),OR(N83="Đạt",N83="Không áp dụng"),OR(O83="Đạt",O83="Không áp dụng")),"Đạt","Đang test")))</x:f>
        <x:v>Chưa test</x:v>
      </x:c>
      <x:c r="R83" s="88" t="str">
        <x:v>Chưa phân loại</x:v>
      </x:c>
      <x:c r="S83" s="80" t="str"/>
      <x:c r="T83" s="80" t="str"/>
      <x:c r="U83" s="82"/>
      <x:c r="V83" s="80" t="str">
        <x:v>Mới</x:v>
      </x:c>
      <x:c r="W83" s="80" t="str"/>
      <x:c r="X83" s="80" t="str"/>
    </x:row>
    <x:row r="84">
      <x:c r="A84" s="86" t="n">
        <x:v>80</x:v>
      </x:c>
      <x:c r="B84" s="86" t="str">
        <x:v>M26</x:v>
      </x:c>
      <x:c r="C84" s="86" t="str">
        <x:v>Giám đốc miền/kênh</x:v>
      </x:c>
      <x:c r="D84" s="77" t="str">
        <x:v>Khách hàng nào có share-of-wallet nội bộ thấp: doanh thu lớn nhưng chỉ mua một nhóm sản phẩm?</x:v>
      </x:c>
      <x:c r="E84" s="87" t="str">
        <x:v>S23</x:v>
      </x:c>
      <x:c r="F84" s="87" t="str">
        <x:v>Cần DNH chốt công thức</x:v>
      </x:c>
      <x:c r="G84" s="77" t="str">
        <x:v>Kiểm cách trình bày; chưa dùng làm chuẩn số trước khi DNH chốt</x:v>
      </x:c>
      <x:c r="H84" s="80" t="str"/>
      <x:c r="I84" s="81"/>
      <x:c r="J84" s="82" t="n">
        <x:v>46265</x:v>
      </x:c>
      <x:c r="K84" s="80" t="str">
        <x:v>Đối chiếu file kết quả theo câu M26, checker S23.</x:v>
      </x:c>
      <x:c r="L84" s="80" t="str"/>
      <x:c r="M84" s="88" t="str">
        <x:v>Chưa chấm</x:v>
      </x:c>
      <x:c r="N84" s="88" t="str">
        <x:v>Chưa chấm</x:v>
      </x:c>
      <x:c r="O84" s="88" t="str">
        <x:v>Chưa chấm</x:v>
      </x:c>
      <x:c r="P84" s="89"/>
      <x:c r="Q84" s="90" t="str">
        <x:f>IF(AND(M84="Chưa chấm",N84="Chưa chấm",O84="Chưa chấm"),"Chưa test",IF(OR(M84="Không đạt",N84="Không đạt",O84="Không đạt"),"Không đạt",IF(AND(OR(M84="Đạt",M84="Không áp dụng"),OR(N84="Đạt",N84="Không áp dụng"),OR(O84="Đạt",O84="Không áp dụng")),"Đạt","Đang test")))</x:f>
        <x:v>Chưa test</x:v>
      </x:c>
      <x:c r="R84" s="88" t="str">
        <x:v>Chưa phân loại</x:v>
      </x:c>
      <x:c r="S84" s="80" t="str"/>
      <x:c r="T84" s="80" t="str"/>
      <x:c r="U84" s="82"/>
      <x:c r="V84" s="80" t="str">
        <x:v>Mới</x:v>
      </x:c>
      <x:c r="W84" s="80" t="str"/>
      <x:c r="X84" s="80" t="str"/>
    </x:row>
    <x:row r="85">
      <x:c r="A85" s="86" t="n">
        <x:v>81</x:v>
      </x:c>
      <x:c r="B85" s="86" t="str">
        <x:v>M27</x:v>
      </x:c>
      <x:c r="C85" s="86" t="str">
        <x:v>Giám đốc miền/kênh</x:v>
      </x:c>
      <x:c r="D85" s="77" t="str">
        <x:v>Tỉnh/huyện nào có ít khách hoạt động, ít đơn hoặc doanh thu/khách thấp hơn chuẩn miền?</x:v>
      </x:c>
      <x:c r="E85" s="87" t="str">
        <x:v>S53</x:v>
      </x:c>
      <x:c r="F85" s="87" t="str">
        <x:v>Đủ nguồn</x:v>
      </x:c>
      <x:c r="G85" s="77" t="str">
        <x:v>Đối chiếu số liệu, diễn giải và phân quyền</x:v>
      </x:c>
      <x:c r="H85" s="80" t="str"/>
      <x:c r="I85" s="81"/>
      <x:c r="J85" s="82" t="n">
        <x:v>46265</x:v>
      </x:c>
      <x:c r="K85" s="80" t="str">
        <x:v>Đối chiếu file kết quả theo câu M27, checker S53.</x:v>
      </x:c>
      <x:c r="L85" s="80" t="str"/>
      <x:c r="M85" s="88" t="str">
        <x:v>Chưa chấm</x:v>
      </x:c>
      <x:c r="N85" s="88" t="str">
        <x:v>Chưa chấm</x:v>
      </x:c>
      <x:c r="O85" s="88" t="str">
        <x:v>Chưa chấm</x:v>
      </x:c>
      <x:c r="P85" s="89"/>
      <x:c r="Q85" s="90" t="str">
        <x:f>IF(AND(M85="Chưa chấm",N85="Chưa chấm",O85="Chưa chấm"),"Chưa test",IF(OR(M85="Không đạt",N85="Không đạt",O85="Không đạt"),"Không đạt",IF(AND(OR(M85="Đạt",M85="Không áp dụng"),OR(N85="Đạt",N85="Không áp dụng"),OR(O85="Đạt",O85="Không áp dụng")),"Đạt","Đang test")))</x:f>
        <x:v>Chưa test</x:v>
      </x:c>
      <x:c r="R85" s="88" t="str">
        <x:v>Chưa phân loại</x:v>
      </x:c>
      <x:c r="S85" s="80" t="str"/>
      <x:c r="T85" s="80" t="str"/>
      <x:c r="U85" s="82"/>
      <x:c r="V85" s="80" t="str">
        <x:v>Mới</x:v>
      </x:c>
      <x:c r="W85" s="80" t="str"/>
      <x:c r="X85" s="80" t="str"/>
    </x:row>
    <x:row r="86">
      <x:c r="A86" s="86" t="n">
        <x:v>82</x:v>
      </x:c>
      <x:c r="B86" s="86" t="str">
        <x:v>M28</x:v>
      </x:c>
      <x:c r="C86" s="86" t="str">
        <x:v>Giám đốc miền/kênh</x:v>
      </x:c>
      <x:c r="D86" s="77" t="str">
        <x:v>Tỷ lệ khách không gán TDV, sai vùng hoặc thiếu thông tin DMS theo tháng là bao nhiêu?</x:v>
      </x:c>
      <x:c r="E86" s="87" t="str">
        <x:v>S38</x:v>
      </x:c>
      <x:c r="F86" s="87" t="str">
        <x:v>Đủ nguồn</x:v>
      </x:c>
      <x:c r="G86" s="77" t="str">
        <x:v>Đối chiếu số liệu, diễn giải và phân quyền</x:v>
      </x:c>
      <x:c r="H86" s="80" t="str"/>
      <x:c r="I86" s="81"/>
      <x:c r="J86" s="82" t="n">
        <x:v>46265</x:v>
      </x:c>
      <x:c r="K86" s="80" t="str">
        <x:v>Đối chiếu file kết quả theo câu M28, checker S38.</x:v>
      </x:c>
      <x:c r="L86" s="80" t="str"/>
      <x:c r="M86" s="88" t="str">
        <x:v>Chưa chấm</x:v>
      </x:c>
      <x:c r="N86" s="88" t="str">
        <x:v>Chưa chấm</x:v>
      </x:c>
      <x:c r="O86" s="88" t="str">
        <x:v>Chưa chấm</x:v>
      </x:c>
      <x:c r="P86" s="89"/>
      <x:c r="Q86" s="90" t="str">
        <x:f>IF(AND(M86="Chưa chấm",N86="Chưa chấm",O86="Chưa chấm"),"Chưa test",IF(OR(M86="Không đạt",N86="Không đạt",O86="Không đạt"),"Không đạt",IF(AND(OR(M86="Đạt",M86="Không áp dụng"),OR(N86="Đạt",N86="Không áp dụng"),OR(O86="Đạt",O86="Không áp dụng")),"Đạt","Đang test")))</x:f>
        <x:v>Chưa test</x:v>
      </x:c>
      <x:c r="R86" s="88" t="str">
        <x:v>Chưa phân loại</x:v>
      </x:c>
      <x:c r="S86" s="80" t="str"/>
      <x:c r="T86" s="80" t="str"/>
      <x:c r="U86" s="82"/>
      <x:c r="V86" s="80" t="str">
        <x:v>Mới</x:v>
      </x:c>
      <x:c r="W86" s="80" t="str"/>
      <x:c r="X86" s="80" t="str"/>
    </x:row>
    <x:row r="87">
      <x:c r="A87" s="86" t="n">
        <x:v>83</x:v>
      </x:c>
      <x:c r="B87" s="86" t="str">
        <x:v>M29</x:v>
      </x:c>
      <x:c r="C87" s="86" t="str">
        <x:v>Giám đốc miền/kênh</x:v>
      </x:c>
      <x:c r="D87" s="77" t="str">
        <x:v>NPP/chi nhánh nào có tăng trưởng khách hàng tốt nhưng công nợ hoặc tồn kho xấu đi?</x:v>
      </x:c>
      <x:c r="E87" s="87" t="str">
        <x:v>S15</x:v>
      </x:c>
      <x:c r="F87" s="87" t="str">
        <x:v>Đủ nguồn</x:v>
      </x:c>
      <x:c r="G87" s="77" t="str">
        <x:v>Đối chiếu số liệu, diễn giải và phân quyền</x:v>
      </x:c>
      <x:c r="H87" s="80" t="str"/>
      <x:c r="I87" s="81"/>
      <x:c r="J87" s="82" t="n">
        <x:v>46265</x:v>
      </x:c>
      <x:c r="K87" s="80" t="str">
        <x:v>Đối chiếu file kết quả theo câu M29, checker S15.</x:v>
      </x:c>
      <x:c r="L87" s="80" t="str"/>
      <x:c r="M87" s="88" t="str">
        <x:v>Chưa chấm</x:v>
      </x:c>
      <x:c r="N87" s="88" t="str">
        <x:v>Chưa chấm</x:v>
      </x:c>
      <x:c r="O87" s="88" t="str">
        <x:v>Chưa chấm</x:v>
      </x:c>
      <x:c r="P87" s="89"/>
      <x:c r="Q87" s="90" t="str">
        <x:f>IF(AND(M87="Chưa chấm",N87="Chưa chấm",O87="Chưa chấm"),"Chưa test",IF(OR(M87="Không đạt",N87="Không đạt",O87="Không đạt"),"Không đạt",IF(AND(OR(M87="Đạt",M87="Không áp dụng"),OR(N87="Đạt",N87="Không áp dụng"),OR(O87="Đạt",O87="Không áp dụng")),"Đạt","Đang test")))</x:f>
        <x:v>Chưa test</x:v>
      </x:c>
      <x:c r="R87" s="88" t="str">
        <x:v>Chưa phân loại</x:v>
      </x:c>
      <x:c r="S87" s="80" t="str"/>
      <x:c r="T87" s="80" t="str"/>
      <x:c r="U87" s="82"/>
      <x:c r="V87" s="80" t="str">
        <x:v>Mới</x:v>
      </x:c>
      <x:c r="W87" s="80" t="str"/>
      <x:c r="X87" s="80" t="str"/>
    </x:row>
    <x:row r="88">
      <x:c r="A88" s="86" t="n">
        <x:v>84</x:v>
      </x:c>
      <x:c r="B88" s="86" t="str">
        <x:v>M30</x:v>
      </x:c>
      <x:c r="C88" s="86" t="str">
        <x:v>Giám đốc miền/kênh</x:v>
      </x:c>
      <x:c r="D88" s="77" t="str">
        <x:v>Danh sách 20 khách hàng ưu tiên cần giữ, thu hồi, tái kích hoạt hoặc mở rộng trong tháng tới là ai?</x:v>
      </x:c>
      <x:c r="E88" s="87" t="str">
        <x:v>S48</x:v>
      </x:c>
      <x:c r="F88" s="87" t="str">
        <x:v>Cần DNH chốt công thức</x:v>
      </x:c>
      <x:c r="G88" s="77" t="str">
        <x:v>Kiểm cách trình bày; chưa dùng làm chuẩn số trước khi DNH chốt</x:v>
      </x:c>
      <x:c r="H88" s="80" t="str"/>
      <x:c r="I88" s="81"/>
      <x:c r="J88" s="82" t="n">
        <x:v>46265</x:v>
      </x:c>
      <x:c r="K88" s="80" t="str">
        <x:v>Đối chiếu file kết quả theo câu M30, checker S48.</x:v>
      </x:c>
      <x:c r="L88" s="80" t="str"/>
      <x:c r="M88" s="88" t="str">
        <x:v>Chưa chấm</x:v>
      </x:c>
      <x:c r="N88" s="88" t="str">
        <x:v>Chưa chấm</x:v>
      </x:c>
      <x:c r="O88" s="88" t="str">
        <x:v>Chưa chấm</x:v>
      </x:c>
      <x:c r="P88" s="89"/>
      <x:c r="Q88" s="90" t="str">
        <x:f>IF(AND(M88="Chưa chấm",N88="Chưa chấm",O88="Chưa chấm"),"Chưa test",IF(OR(M88="Không đạt",N88="Không đạt",O88="Không đạt"),"Không đạt",IF(AND(OR(M88="Đạt",M88="Không áp dụng"),OR(N88="Đạt",N88="Không áp dụng"),OR(O88="Đạt",O88="Không áp dụng")),"Đạt","Đang test")))</x:f>
        <x:v>Chưa test</x:v>
      </x:c>
      <x:c r="R88" s="88" t="str">
        <x:v>Chưa phân loại</x:v>
      </x:c>
      <x:c r="S88" s="80" t="str"/>
      <x:c r="T88" s="80" t="str"/>
      <x:c r="U88" s="82"/>
      <x:c r="V88" s="80" t="str">
        <x:v>Mới</x:v>
      </x:c>
      <x:c r="W88" s="80" t="str"/>
      <x:c r="X88" s="80" t="str"/>
    </x:row>
    <x:row r="89">
      <x:c r="A89" s="86" t="n">
        <x:v>85</x:v>
      </x:c>
      <x:c r="B89" s="86" t="str">
        <x:v>M31</x:v>
      </x:c>
      <x:c r="C89" s="86" t="str">
        <x:v>Giám đốc miền/kênh</x:v>
      </x:c>
      <x:c r="D89" s="77" t="str">
        <x:v>Nhóm sản phẩm/SKU nào đóng góp nhiều nhất vào tăng/giảm của miền/kênh theo tháng?</x:v>
      </x:c>
      <x:c r="E89" s="87" t="str">
        <x:v>S21</x:v>
      </x:c>
      <x:c r="F89" s="87" t="str">
        <x:v>Đủ nguồn</x:v>
      </x:c>
      <x:c r="G89" s="77" t="str">
        <x:v>Đối chiếu số liệu, diễn giải và phân quyền</x:v>
      </x:c>
      <x:c r="H89" s="80" t="str"/>
      <x:c r="I89" s="81"/>
      <x:c r="J89" s="82" t="n">
        <x:v>46265</x:v>
      </x:c>
      <x:c r="K89" s="80" t="str">
        <x:v>Đối chiếu file kết quả theo câu M31, checker S21.</x:v>
      </x:c>
      <x:c r="L89" s="80" t="str"/>
      <x:c r="M89" s="88" t="str">
        <x:v>Chưa chấm</x:v>
      </x:c>
      <x:c r="N89" s="88" t="str">
        <x:v>Chưa chấm</x:v>
      </x:c>
      <x:c r="O89" s="88" t="str">
        <x:v>Chưa chấm</x:v>
      </x:c>
      <x:c r="P89" s="89"/>
      <x:c r="Q89" s="90" t="str">
        <x:f>IF(AND(M89="Chưa chấm",N89="Chưa chấm",O89="Chưa chấm"),"Chưa test",IF(OR(M89="Không đạt",N89="Không đạt",O89="Không đạt"),"Không đạt",IF(AND(OR(M89="Đạt",M89="Không áp dụng"),OR(N89="Đạt",N89="Không áp dụng"),OR(O89="Đạt",O89="Không áp dụng")),"Đạt","Đang test")))</x:f>
        <x:v>Chưa test</x:v>
      </x:c>
      <x:c r="R89" s="88" t="str">
        <x:v>Chưa phân loại</x:v>
      </x:c>
      <x:c r="S89" s="80" t="str"/>
      <x:c r="T89" s="80" t="str"/>
      <x:c r="U89" s="82"/>
      <x:c r="V89" s="80" t="str">
        <x:v>Mới</x:v>
      </x:c>
      <x:c r="W89" s="80" t="str"/>
      <x:c r="X89" s="80" t="str"/>
    </x:row>
    <x:row r="90">
      <x:c r="A90" s="86" t="n">
        <x:v>86</x:v>
      </x:c>
      <x:c r="B90" s="86" t="str">
        <x:v>M32</x:v>
      </x:c>
      <x:c r="C90" s="86" t="str">
        <x:v>Giám đốc miền/kênh</x:v>
      </x:c>
      <x:c r="D90" s="77" t="str">
        <x:v>SKU chiến lược đạt bao nhiêu % target tại từng vùng; vùng nào có khoảng trống độ phủ lớn nhất?</x:v>
      </x:c>
      <x:c r="E90" s="87" t="str">
        <x:v>S46</x:v>
      </x:c>
      <x:c r="F90" s="87" t="str">
        <x:v>Thiếu một phần dữ liệu</x:v>
      </x:c>
      <x:c r="G90" s="77" t="str">
        <x:v>Kiểm phần có dữ liệu; phần thiếu phải được thông báo rõ</x:v>
      </x:c>
      <x:c r="H90" s="80" t="str"/>
      <x:c r="I90" s="81"/>
      <x:c r="J90" s="82" t="n">
        <x:v>46265</x:v>
      </x:c>
      <x:c r="K90" s="80" t="str">
        <x:v>Đối chiếu file kết quả theo câu M32, checker S46.</x:v>
      </x:c>
      <x:c r="L90" s="80" t="str"/>
      <x:c r="M90" s="88" t="str">
        <x:v>Chưa chấm</x:v>
      </x:c>
      <x:c r="N90" s="88" t="str">
        <x:v>Chưa chấm</x:v>
      </x:c>
      <x:c r="O90" s="88" t="str">
        <x:v>Chưa chấm</x:v>
      </x:c>
      <x:c r="P90" s="89"/>
      <x:c r="Q90" s="90" t="str">
        <x:f>IF(AND(M90="Chưa chấm",N90="Chưa chấm",O90="Chưa chấm"),"Chưa test",IF(OR(M90="Không đạt",N90="Không đạt",O90="Không đạt"),"Không đạt",IF(AND(OR(M90="Đạt",M90="Không áp dụng"),OR(N90="Đạt",N90="Không áp dụng"),OR(O90="Đạt",O90="Không áp dụng")),"Đạt","Đang test")))</x:f>
        <x:v>Chưa test</x:v>
      </x:c>
      <x:c r="R90" s="88" t="str">
        <x:v>Chưa phân loại</x:v>
      </x:c>
      <x:c r="S90" s="80" t="str"/>
      <x:c r="T90" s="80" t="str"/>
      <x:c r="U90" s="82"/>
      <x:c r="V90" s="80" t="str">
        <x:v>Mới</x:v>
      </x:c>
      <x:c r="W90" s="80" t="str"/>
      <x:c r="X90" s="80" t="str"/>
    </x:row>
    <x:row r="91">
      <x:c r="A91" s="86" t="n">
        <x:v>87</x:v>
      </x:c>
      <x:c r="B91" s="86" t="str">
        <x:v>M33</x:v>
      </x:c>
      <x:c r="C91" s="86" t="str">
        <x:v>Giám đốc miền/kênh</x:v>
      </x:c>
      <x:c r="D91" s="77" t="str">
        <x:v>SKU nào doanh thu giảm do ít khách mua, ít đơn, giảm lượng/đơn hay giảm giá bán?</x:v>
      </x:c>
      <x:c r="E91" s="87" t="str">
        <x:v>S72</x:v>
      </x:c>
      <x:c r="F91" s="87" t="str">
        <x:v>Đủ nguồn</x:v>
      </x:c>
      <x:c r="G91" s="77" t="str">
        <x:v>Đối chiếu số liệu, diễn giải và phân quyền</x:v>
      </x:c>
      <x:c r="H91" s="80" t="str"/>
      <x:c r="I91" s="81"/>
      <x:c r="J91" s="82" t="n">
        <x:v>46265</x:v>
      </x:c>
      <x:c r="K91" s="80" t="str">
        <x:v>Đối chiếu file kết quả theo câu M33, checker S72.</x:v>
      </x:c>
      <x:c r="L91" s="80" t="str"/>
      <x:c r="M91" s="88" t="str">
        <x:v>Chưa chấm</x:v>
      </x:c>
      <x:c r="N91" s="88" t="str">
        <x:v>Chưa chấm</x:v>
      </x:c>
      <x:c r="O91" s="88" t="str">
        <x:v>Chưa chấm</x:v>
      </x:c>
      <x:c r="P91" s="89"/>
      <x:c r="Q91" s="90" t="str">
        <x:f>IF(AND(M91="Chưa chấm",N91="Chưa chấm",O91="Chưa chấm"),"Chưa test",IF(OR(M91="Không đạt",N91="Không đạt",O91="Không đạt"),"Không đạt",IF(AND(OR(M91="Đạt",M91="Không áp dụng"),OR(N91="Đạt",N91="Không áp dụng"),OR(O91="Đạt",O91="Không áp dụng")),"Đạt","Đang test")))</x:f>
        <x:v>Chưa test</x:v>
      </x:c>
      <x:c r="R91" s="88" t="str">
        <x:v>Chưa phân loại</x:v>
      </x:c>
      <x:c r="S91" s="80" t="str"/>
      <x:c r="T91" s="80" t="str"/>
      <x:c r="U91" s="82"/>
      <x:c r="V91" s="80" t="str">
        <x:v>Mới</x:v>
      </x:c>
      <x:c r="W91" s="80" t="str"/>
      <x:c r="X91" s="80" t="str"/>
    </x:row>
    <x:row r="92">
      <x:c r="A92" s="86" t="n">
        <x:v>88</x:v>
      </x:c>
      <x:c r="B92" s="86" t="str">
        <x:v>M34</x:v>
      </x:c>
      <x:c r="C92" s="86" t="str">
        <x:v>Giám đốc miền/kênh</x:v>
      </x:c>
      <x:c r="D92" s="77" t="str">
        <x:v>Sản phẩm mới đạt độ phủ và doanh thu sau 1/3/6 tháng thế nào tại từng vùng?</x:v>
      </x:c>
      <x:c r="E92" s="87" t="str">
        <x:v>S22</x:v>
      </x:c>
      <x:c r="F92" s="87" t="str">
        <x:v>Cần DNH chốt công thức</x:v>
      </x:c>
      <x:c r="G92" s="77" t="str">
        <x:v>Kiểm cách trình bày; chưa dùng làm chuẩn số trước khi DNH chốt</x:v>
      </x:c>
      <x:c r="H92" s="80" t="str"/>
      <x:c r="I92" s="81"/>
      <x:c r="J92" s="82" t="n">
        <x:v>46265</x:v>
      </x:c>
      <x:c r="K92" s="80" t="str">
        <x:v>Đối chiếu file kết quả theo câu M34, checker S22.</x:v>
      </x:c>
      <x:c r="L92" s="80" t="str"/>
      <x:c r="M92" s="88" t="str">
        <x:v>Chưa chấm</x:v>
      </x:c>
      <x:c r="N92" s="88" t="str">
        <x:v>Chưa chấm</x:v>
      </x:c>
      <x:c r="O92" s="88" t="str">
        <x:v>Chưa chấm</x:v>
      </x:c>
      <x:c r="P92" s="89"/>
      <x:c r="Q92" s="90" t="str">
        <x:f>IF(AND(M92="Chưa chấm",N92="Chưa chấm",O92="Chưa chấm"),"Chưa test",IF(OR(M92="Không đạt",N92="Không đạt",O92="Không đạt"),"Không đạt",IF(AND(OR(M92="Đạt",M92="Không áp dụng"),OR(N92="Đạt",N92="Không áp dụng"),OR(O92="Đạt",O92="Không áp dụng")),"Đạt","Đang test")))</x:f>
        <x:v>Chưa test</x:v>
      </x:c>
      <x:c r="R92" s="88" t="str">
        <x:v>Chưa phân loại</x:v>
      </x:c>
      <x:c r="S92" s="80" t="str"/>
      <x:c r="T92" s="80" t="str"/>
      <x:c r="U92" s="82"/>
      <x:c r="V92" s="80" t="str">
        <x:v>Mới</x:v>
      </x:c>
      <x:c r="W92" s="80" t="str"/>
      <x:c r="X92" s="80" t="str"/>
    </x:row>
    <x:row r="93">
      <x:c r="A93" s="86" t="n">
        <x:v>89</x:v>
      </x:c>
      <x:c r="B93" s="86" t="str">
        <x:v>M35</x:v>
      </x:c>
      <x:c r="C93" s="86" t="str">
        <x:v>Giám đốc miền/kênh</x:v>
      </x:c>
      <x:c r="D93" s="77" t="str">
        <x:v>Chương trình khuyến mãi nào có nhiều khách tham gia nhưng không tạo tăng trưởng; chương trình nào tạo uplift tốt?</x:v>
      </x:c>
      <x:c r="E93" s="87" t="str">
        <x:v>S12</x:v>
      </x:c>
      <x:c r="F93" s="87" t="str">
        <x:v>Thiếu một phần dữ liệu</x:v>
      </x:c>
      <x:c r="G93" s="77" t="str">
        <x:v>Kiểm phần có dữ liệu; phần thiếu phải được thông báo rõ</x:v>
      </x:c>
      <x:c r="H93" s="80" t="str"/>
      <x:c r="I93" s="81"/>
      <x:c r="J93" s="82" t="n">
        <x:v>46265</x:v>
      </x:c>
      <x:c r="K93" s="80" t="str">
        <x:v>Đối chiếu file kết quả theo câu M35, checker S12.</x:v>
      </x:c>
      <x:c r="L93" s="80" t="str"/>
      <x:c r="M93" s="88" t="str">
        <x:v>Chưa chấm</x:v>
      </x:c>
      <x:c r="N93" s="88" t="str">
        <x:v>Chưa chấm</x:v>
      </x:c>
      <x:c r="O93" s="88" t="str">
        <x:v>Chưa chấm</x:v>
      </x:c>
      <x:c r="P93" s="89"/>
      <x:c r="Q93" s="90" t="str">
        <x:f>IF(AND(M93="Chưa chấm",N93="Chưa chấm",O93="Chưa chấm"),"Chưa test",IF(OR(M93="Không đạt",N93="Không đạt",O93="Không đạt"),"Không đạt",IF(AND(OR(M93="Đạt",M93="Không áp dụng"),OR(N93="Đạt",N93="Không áp dụng"),OR(O93="Đạt",O93="Không áp dụng")),"Đạt","Đang test")))</x:f>
        <x:v>Chưa test</x:v>
      </x:c>
      <x:c r="R93" s="88" t="str">
        <x:v>Chưa phân loại</x:v>
      </x:c>
      <x:c r="S93" s="80" t="str"/>
      <x:c r="T93" s="80" t="str"/>
      <x:c r="U93" s="82"/>
      <x:c r="V93" s="80" t="str">
        <x:v>Mới</x:v>
      </x:c>
      <x:c r="W93" s="80" t="str"/>
      <x:c r="X93" s="80" t="str"/>
    </x:row>
    <x:row r="94">
      <x:c r="A94" s="86" t="n">
        <x:v>90</x:v>
      </x:c>
      <x:c r="B94" s="86" t="str">
        <x:v>M36</x:v>
      </x:c>
      <x:c r="C94" s="86" t="str">
        <x:v>Giám đốc miền/kênh</x:v>
      </x:c>
      <x:c r="D94" s="77" t="str">
        <x:v>Tỷ lệ trả hàng, chiết khấu và hàng tặng trên doanh thu của từng vùng thay đổi ra sao?</x:v>
      </x:c>
      <x:c r="E94" s="87" t="str">
        <x:v>S78</x:v>
      </x:c>
      <x:c r="F94" s="87" t="str">
        <x:v>Thiếu một phần dữ liệu</x:v>
      </x:c>
      <x:c r="G94" s="77" t="str">
        <x:v>Kiểm phần có dữ liệu; phần thiếu phải được thông báo rõ</x:v>
      </x:c>
      <x:c r="H94" s="80" t="str"/>
      <x:c r="I94" s="81"/>
      <x:c r="J94" s="82" t="n">
        <x:v>46265</x:v>
      </x:c>
      <x:c r="K94" s="80" t="str">
        <x:v>Đối chiếu file kết quả theo câu M36, checker S78.</x:v>
      </x:c>
      <x:c r="L94" s="80" t="str"/>
      <x:c r="M94" s="88" t="str">
        <x:v>Chưa chấm</x:v>
      </x:c>
      <x:c r="N94" s="88" t="str">
        <x:v>Chưa chấm</x:v>
      </x:c>
      <x:c r="O94" s="88" t="str">
        <x:v>Chưa chấm</x:v>
      </x:c>
      <x:c r="P94" s="89"/>
      <x:c r="Q94" s="90" t="str">
        <x:f>IF(AND(M94="Chưa chấm",N94="Chưa chấm",O94="Chưa chấm"),"Chưa test",IF(OR(M94="Không đạt",N94="Không đạt",O94="Không đạt"),"Không đạt",IF(AND(OR(M94="Đạt",M94="Không áp dụng"),OR(N94="Đạt",N94="Không áp dụng"),OR(O94="Đạt",O94="Không áp dụng")),"Đạt","Đang test")))</x:f>
        <x:v>Chưa test</x:v>
      </x:c>
      <x:c r="R94" s="88" t="str">
        <x:v>Chưa phân loại</x:v>
      </x:c>
      <x:c r="S94" s="80" t="str"/>
      <x:c r="T94" s="80" t="str"/>
      <x:c r="U94" s="82"/>
      <x:c r="V94" s="80" t="str">
        <x:v>Mới</x:v>
      </x:c>
      <x:c r="W94" s="80" t="str"/>
      <x:c r="X94" s="80" t="str"/>
    </x:row>
    <x:row r="95">
      <x:c r="A95" s="86" t="n">
        <x:v>91</x:v>
      </x:c>
      <x:c r="B95" s="86" t="str">
        <x:v>M37</x:v>
      </x:c>
      <x:c r="C95" s="86" t="str">
        <x:v>Giám đốc miền/kênh</x:v>
      </x:c>
      <x:c r="D95" s="77" t="str">
        <x:v>Tổng nợ, nợ quá hạn, DSO và thu tiền của từng vùng/QLV qua từng tháng; đơn vị nào xấu đi nhanh nhất?</x:v>
      </x:c>
      <x:c r="E95" s="87" t="str">
        <x:v>S25</x:v>
      </x:c>
      <x:c r="F95" s="87" t="str">
        <x:v>Chưa đủ lịch sử</x:v>
      </x:c>
      <x:c r="G95" s="77" t="str">
        <x:v>Kỳ vọng chatbot báo chưa đủ lịch sử, không suy đoán</x:v>
      </x:c>
      <x:c r="H95" s="80" t="str"/>
      <x:c r="I95" s="81"/>
      <x:c r="J95" s="82" t="n">
        <x:v>46265</x:v>
      </x:c>
      <x:c r="K95" s="80" t="str">
        <x:v>Chatbot phải báo rõ chưa đủ dữ liệu/lịch sử; không tự tạo số.</x:v>
      </x:c>
      <x:c r="L95" s="80" t="str"/>
      <x:c r="M95" s="88" t="str">
        <x:v>Chưa chấm</x:v>
      </x:c>
      <x:c r="N95" s="88" t="str">
        <x:v>Chưa chấm</x:v>
      </x:c>
      <x:c r="O95" s="88" t="str">
        <x:v>Chưa chấm</x:v>
      </x:c>
      <x:c r="P95" s="89"/>
      <x:c r="Q95" s="90" t="str">
        <x:f>IF(AND(M95="Chưa chấm",N95="Chưa chấm",O95="Chưa chấm"),"Chưa test",IF(OR(M95="Không đạt",N95="Không đạt",O95="Không đạt"),"Không đạt",IF(AND(OR(M95="Đạt",M95="Không áp dụng"),OR(N95="Đạt",N95="Không áp dụng"),OR(O95="Đạt",O95="Không áp dụng")),"Đạt","Đang test")))</x:f>
        <x:v>Chưa test</x:v>
      </x:c>
      <x:c r="R95" s="88" t="str">
        <x:v>Chưa phân loại</x:v>
      </x:c>
      <x:c r="S95" s="80" t="str"/>
      <x:c r="T95" s="80" t="str"/>
      <x:c r="U95" s="82"/>
      <x:c r="V95" s="80" t="str">
        <x:v>Mới</x:v>
      </x:c>
      <x:c r="W95" s="80" t="str"/>
      <x:c r="X95" s="80" t="str"/>
    </x:row>
    <x:row r="96">
      <x:c r="A96" s="86" t="n">
        <x:v>92</x:v>
      </x:c>
      <x:c r="B96" s="86" t="str">
        <x:v>M38</x:v>
      </x:c>
      <x:c r="C96" s="86" t="str">
        <x:v>Giám đốc miền/kênh</x:v>
      </x:c>
      <x:c r="D96" s="77" t="str">
        <x:v>Khách nào cần dừng/bóp bán vì nợ xấu; doanh thu có nguy cơ ảnh hưởng là bao nhiêu?</x:v>
      </x:c>
      <x:c r="E96" s="87" t="str">
        <x:v>S26</x:v>
      </x:c>
      <x:c r="F96" s="87" t="str">
        <x:v>Thiếu một phần dữ liệu</x:v>
      </x:c>
      <x:c r="G96" s="77" t="str">
        <x:v>Kiểm phần có dữ liệu; phần thiếu phải được thông báo rõ</x:v>
      </x:c>
      <x:c r="H96" s="80" t="str"/>
      <x:c r="I96" s="81"/>
      <x:c r="J96" s="82" t="n">
        <x:v>46265</x:v>
      </x:c>
      <x:c r="K96" s="80" t="str">
        <x:v>Đối chiếu file kết quả theo câu M38, checker S26.</x:v>
      </x:c>
      <x:c r="L96" s="80" t="str"/>
      <x:c r="M96" s="88" t="str">
        <x:v>Chưa chấm</x:v>
      </x:c>
      <x:c r="N96" s="88" t="str">
        <x:v>Chưa chấm</x:v>
      </x:c>
      <x:c r="O96" s="88" t="str">
        <x:v>Chưa chấm</x:v>
      </x:c>
      <x:c r="P96" s="89"/>
      <x:c r="Q96" s="90" t="str">
        <x:f>IF(AND(M96="Chưa chấm",N96="Chưa chấm",O96="Chưa chấm"),"Chưa test",IF(OR(M96="Không đạt",N96="Không đạt",O96="Không đạt"),"Không đạt",IF(AND(OR(M96="Đạt",M96="Không áp dụng"),OR(N96="Đạt",N96="Không áp dụng"),OR(O96="Đạt",O96="Không áp dụng")),"Đạt","Đang test")))</x:f>
        <x:v>Chưa test</x:v>
      </x:c>
      <x:c r="R96" s="88" t="str">
        <x:v>Chưa phân loại</x:v>
      </x:c>
      <x:c r="S96" s="80" t="str"/>
      <x:c r="T96" s="80" t="str"/>
      <x:c r="U96" s="82"/>
      <x:c r="V96" s="80" t="str">
        <x:v>Mới</x:v>
      </x:c>
      <x:c r="W96" s="80" t="str"/>
      <x:c r="X96" s="80" t="str"/>
    </x:row>
    <x:row r="97">
      <x:c r="A97" s="86" t="n">
        <x:v>93</x:v>
      </x:c>
      <x:c r="B97" s="86" t="str">
        <x:v>M39</x:v>
      </x:c>
      <x:c r="C97" s="86" t="str">
        <x:v>Giám đốc miền/kênh</x:v>
      </x:c>
      <x:c r="D97" s="77" t="str">
        <x:v>SKU nào thiếu hàng ở miền/kênh và làm mất doanh số; SKU nào tồn cao hơn nhu cầu 3–6 tháng?</x:v>
      </x:c>
      <x:c r="E97" s="87" t="str">
        <x:v>S47</x:v>
      </x:c>
      <x:c r="F97" s="87" t="str">
        <x:v>Cần DNH chốt công thức</x:v>
      </x:c>
      <x:c r="G97" s="77" t="str">
        <x:v>Kiểm cách trình bày; chưa dùng làm chuẩn số trước khi DNH chốt</x:v>
      </x:c>
      <x:c r="H97" s="80" t="str"/>
      <x:c r="I97" s="81"/>
      <x:c r="J97" s="82" t="n">
        <x:v>46265</x:v>
      </x:c>
      <x:c r="K97" s="80" t="str">
        <x:v>Đối chiếu file kết quả theo câu M39, checker S47.</x:v>
      </x:c>
      <x:c r="L97" s="80" t="str"/>
      <x:c r="M97" s="88" t="str">
        <x:v>Chưa chấm</x:v>
      </x:c>
      <x:c r="N97" s="88" t="str">
        <x:v>Chưa chấm</x:v>
      </x:c>
      <x:c r="O97" s="88" t="str">
        <x:v>Chưa chấm</x:v>
      </x:c>
      <x:c r="P97" s="89"/>
      <x:c r="Q97" s="90" t="str">
        <x:f>IF(AND(M97="Chưa chấm",N97="Chưa chấm",O97="Chưa chấm"),"Chưa test",IF(OR(M97="Không đạt",N97="Không đạt",O97="Không đạt"),"Không đạt",IF(AND(OR(M97="Đạt",M97="Không áp dụng"),OR(N97="Đạt",N97="Không áp dụng"),OR(O97="Đạt",O97="Không áp dụng")),"Đạt","Đang test")))</x:f>
        <x:v>Chưa test</x:v>
      </x:c>
      <x:c r="R97" s="88" t="str">
        <x:v>Chưa phân loại</x:v>
      </x:c>
      <x:c r="S97" s="80" t="str"/>
      <x:c r="T97" s="80" t="str"/>
      <x:c r="U97" s="82"/>
      <x:c r="V97" s="80" t="str">
        <x:v>Mới</x:v>
      </x:c>
      <x:c r="W97" s="80" t="str"/>
      <x:c r="X97" s="80" t="str"/>
    </x:row>
    <x:row r="98">
      <x:c r="A98" s="86" t="n">
        <x:v>94</x:v>
      </x:c>
      <x:c r="B98" s="86" t="str">
        <x:v>M40</x:v>
      </x:c>
      <x:c r="C98" s="86" t="str">
        <x:v>Giám đốc miền/kênh</x:v>
      </x:c>
      <x:c r="D98" s="77" t="str">
        <x:v>Hàng cận date/chậm luân chuyển nào cần chuyển vùng, đẩy bán hoặc dừng nhập?</x:v>
      </x:c>
      <x:c r="E98" s="87" t="str">
        <x:v>S28</x:v>
      </x:c>
      <x:c r="F98" s="87" t="str">
        <x:v>Thiếu một phần dữ liệu</x:v>
      </x:c>
      <x:c r="G98" s="77" t="str">
        <x:v>Kiểm phần có dữ liệu; phần thiếu phải được thông báo rõ</x:v>
      </x:c>
      <x:c r="H98" s="80" t="str"/>
      <x:c r="I98" s="81"/>
      <x:c r="J98" s="82" t="n">
        <x:v>46265</x:v>
      </x:c>
      <x:c r="K98" s="80" t="str">
        <x:v>Đối chiếu file kết quả theo câu M40, checker S28.</x:v>
      </x:c>
      <x:c r="L98" s="80" t="str"/>
      <x:c r="M98" s="88" t="str">
        <x:v>Chưa chấm</x:v>
      </x:c>
      <x:c r="N98" s="88" t="str">
        <x:v>Chưa chấm</x:v>
      </x:c>
      <x:c r="O98" s="88" t="str">
        <x:v>Chưa chấm</x:v>
      </x:c>
      <x:c r="P98" s="89"/>
      <x:c r="Q98" s="90" t="str">
        <x:f>IF(AND(M98="Chưa chấm",N98="Chưa chấm",O98="Chưa chấm"),"Chưa test",IF(OR(M98="Không đạt",N98="Không đạt",O98="Không đạt"),"Không đạt",IF(AND(OR(M98="Đạt",M98="Không áp dụng"),OR(N98="Đạt",N98="Không áp dụng"),OR(O98="Đạt",O98="Không áp dụng")),"Đạt","Đang test")))</x:f>
        <x:v>Chưa test</x:v>
      </x:c>
      <x:c r="R98" s="88" t="str">
        <x:v>Chưa phân loại</x:v>
      </x:c>
      <x:c r="S98" s="80" t="str"/>
      <x:c r="T98" s="80" t="str"/>
      <x:c r="U98" s="82"/>
      <x:c r="V98" s="80" t="str">
        <x:v>Mới</x:v>
      </x:c>
      <x:c r="W98" s="80" t="str"/>
      <x:c r="X98" s="80" t="str"/>
    </x:row>
    <x:row r="99">
      <x:c r="A99" s="86" t="n">
        <x:v>95</x:v>
      </x:c>
      <x:c r="B99" s="86" t="str">
        <x:v>M41</x:v>
      </x:c>
      <x:c r="C99" s="86" t="str">
        <x:v>Giám đốc miền/kênh</x:v>
      </x:c>
      <x:c r="D99" s="77" t="str">
        <x:v>Với ETC, kế hoạch thầu, tỷ lệ trúng, doanh thu thực hiện và thu tiền từng tháng của từng vùng/khách hàng thế nào?</x:v>
      </x:c>
      <x:c r="E99" s="87" t="str">
        <x:v>S29</x:v>
      </x:c>
      <x:c r="F99" s="87" t="str">
        <x:v>Thiếu một phần dữ liệu</x:v>
      </x:c>
      <x:c r="G99" s="77" t="str">
        <x:v>Kiểm phần có dữ liệu; phần thiếu phải được thông báo rõ</x:v>
      </x:c>
      <x:c r="H99" s="80" t="str"/>
      <x:c r="I99" s="81"/>
      <x:c r="J99" s="82" t="n">
        <x:v>46265</x:v>
      </x:c>
      <x:c r="K99" s="80" t="str">
        <x:v>Đối chiếu file kết quả theo câu M41, checker S29.</x:v>
      </x:c>
      <x:c r="L99" s="80" t="str"/>
      <x:c r="M99" s="88" t="str">
        <x:v>Chưa chấm</x:v>
      </x:c>
      <x:c r="N99" s="88" t="str">
        <x:v>Chưa chấm</x:v>
      </x:c>
      <x:c r="O99" s="88" t="str">
        <x:v>Chưa chấm</x:v>
      </x:c>
      <x:c r="P99" s="89"/>
      <x:c r="Q99" s="90" t="str">
        <x:f>IF(AND(M99="Chưa chấm",N99="Chưa chấm",O99="Chưa chấm"),"Chưa test",IF(OR(M99="Không đạt",N99="Không đạt",O99="Không đạt"),"Không đạt",IF(AND(OR(M99="Đạt",M99="Không áp dụng"),OR(N99="Đạt",N99="Không áp dụng"),OR(O99="Đạt",O99="Không áp dụng")),"Đạt","Đang test")))</x:f>
        <x:v>Chưa test</x:v>
      </x:c>
      <x:c r="R99" s="88" t="str">
        <x:v>Chưa phân loại</x:v>
      </x:c>
      <x:c r="S99" s="80" t="str"/>
      <x:c r="T99" s="80" t="str"/>
      <x:c r="U99" s="82"/>
      <x:c r="V99" s="80" t="str">
        <x:v>Mới</x:v>
      </x:c>
      <x:c r="W99" s="80" t="str"/>
      <x:c r="X99" s="80" t="str"/>
    </x:row>
    <x:row r="100">
      <x:c r="A100" s="86" t="n">
        <x:v>96</x:v>
      </x:c>
      <x:c r="B100" s="86" t="str">
        <x:v>M42</x:v>
      </x:c>
      <x:c r="C100" s="86" t="str">
        <x:v>Giám đốc miền/kênh</x:v>
      </x:c>
      <x:c r="D100" s="77" t="str">
        <x:v>Hợp đồng/gói thầu nào có tỷ lệ thực hiện thấp, còn giá trị lớn hoặc sắp hết hiệu lực?</x:v>
      </x:c>
      <x:c r="E100" s="87" t="str">
        <x:v>S86</x:v>
      </x:c>
      <x:c r="F100" s="87" t="str">
        <x:v>Thiếu một phần dữ liệu</x:v>
      </x:c>
      <x:c r="G100" s="77" t="str">
        <x:v>Kiểm phần có dữ liệu; phần thiếu phải được thông báo rõ</x:v>
      </x:c>
      <x:c r="H100" s="80" t="str"/>
      <x:c r="I100" s="81"/>
      <x:c r="J100" s="82" t="n">
        <x:v>46265</x:v>
      </x:c>
      <x:c r="K100" s="80" t="str">
        <x:v>Đối chiếu file kết quả theo câu M42, checker S86.</x:v>
      </x:c>
      <x:c r="L100" s="80" t="str"/>
      <x:c r="M100" s="88" t="str">
        <x:v>Chưa chấm</x:v>
      </x:c>
      <x:c r="N100" s="88" t="str">
        <x:v>Chưa chấm</x:v>
      </x:c>
      <x:c r="O100" s="88" t="str">
        <x:v>Chưa chấm</x:v>
      </x:c>
      <x:c r="P100" s="89"/>
      <x:c r="Q100" s="90" t="str">
        <x:f>IF(AND(M100="Chưa chấm",N100="Chưa chấm",O100="Chưa chấm"),"Chưa test",IF(OR(M100="Không đạt",N100="Không đạt",O100="Không đạt"),"Không đạt",IF(AND(OR(M100="Đạt",M100="Không áp dụng"),OR(N100="Đạt",N100="Không áp dụng"),OR(O100="Đạt",O100="Không áp dụng")),"Đạt","Đang test")))</x:f>
        <x:v>Chưa test</x:v>
      </x:c>
      <x:c r="R100" s="88" t="str">
        <x:v>Chưa phân loại</x:v>
      </x:c>
      <x:c r="S100" s="80" t="str"/>
      <x:c r="T100" s="80" t="str"/>
      <x:c r="U100" s="82"/>
      <x:c r="V100" s="80" t="str">
        <x:v>Mới</x:v>
      </x:c>
      <x:c r="W100" s="80" t="str"/>
      <x:c r="X100" s="80" t="str"/>
    </x:row>
    <x:row r="101">
      <x:c r="A101" s="86" t="n">
        <x:v>97</x:v>
      </x:c>
      <x:c r="B101" s="86" t="str">
        <x:v>M43</x:v>
      </x:c>
      <x:c r="C101" s="86" t="str">
        <x:v>Giám đốc miền/kênh</x:v>
      </x:c>
      <x:c r="D101" s="77" t="str">
        <x:v>Dự báo cuối tháng của từng vùng/QLV là bao nhiêu; vùng nào có xác suất không đạt cao nhất?</x:v>
      </x:c>
      <x:c r="E101" s="87" t="str">
        <x:v>S35</x:v>
      </x:c>
      <x:c r="F101" s="87" t="str">
        <x:v>Thiếu một phần dữ liệu</x:v>
      </x:c>
      <x:c r="G101" s="77" t="str">
        <x:v>Kiểm phần có dữ liệu; phần thiếu phải được thông báo rõ</x:v>
      </x:c>
      <x:c r="H101" s="80" t="str"/>
      <x:c r="I101" s="81"/>
      <x:c r="J101" s="82" t="n">
        <x:v>46265</x:v>
      </x:c>
      <x:c r="K101" s="80" t="str">
        <x:v>Đối chiếu file kết quả theo câu M43, checker S35.</x:v>
      </x:c>
      <x:c r="L101" s="80" t="str"/>
      <x:c r="M101" s="88" t="str">
        <x:v>Chưa chấm</x:v>
      </x:c>
      <x:c r="N101" s="88" t="str">
        <x:v>Chưa chấm</x:v>
      </x:c>
      <x:c r="O101" s="88" t="str">
        <x:v>Chưa chấm</x:v>
      </x:c>
      <x:c r="P101" s="89"/>
      <x:c r="Q101" s="90" t="str">
        <x:f>IF(AND(M101="Chưa chấm",N101="Chưa chấm",O101="Chưa chấm"),"Chưa test",IF(OR(M101="Không đạt",N101="Không đạt",O101="Không đạt"),"Không đạt",IF(AND(OR(M101="Đạt",M101="Không áp dụng"),OR(N101="Đạt",N101="Không áp dụng"),OR(O101="Đạt",O101="Không áp dụng")),"Đạt","Đang test")))</x:f>
        <x:v>Chưa test</x:v>
      </x:c>
      <x:c r="R101" s="88" t="str">
        <x:v>Chưa phân loại</x:v>
      </x:c>
      <x:c r="S101" s="80" t="str"/>
      <x:c r="T101" s="80" t="str"/>
      <x:c r="U101" s="82"/>
      <x:c r="V101" s="80" t="str">
        <x:v>Mới</x:v>
      </x:c>
      <x:c r="W101" s="80" t="str"/>
      <x:c r="X101" s="80" t="str"/>
    </x:row>
    <x:row r="102">
      <x:c r="A102" s="86" t="n">
        <x:v>98</x:v>
      </x:c>
      <x:c r="B102" s="86" t="str">
        <x:v>M44</x:v>
      </x:c>
      <x:c r="C102" s="86" t="str">
        <x:v>Giám đốc miền/kênh</x:v>
      </x:c>
      <x:c r="D102" s="77" t="str">
        <x:v>Với từng vùng dưới kế hoạch: ba nguyên nhân định lượng, ba hành động, người chịu trách nhiệm và deadline là gì?</x:v>
      </x:c>
      <x:c r="E102" s="87" t="str">
        <x:v>S36</x:v>
      </x:c>
      <x:c r="F102" s="87" t="str">
        <x:v>Chưa có nguồn dữ liệu</x:v>
      </x:c>
      <x:c r="G102" s="77" t="str">
        <x:v>Kỳ vọng chatbot báo chưa đủ dữ liệu, không suy đoán</x:v>
      </x:c>
      <x:c r="H102" s="80" t="str"/>
      <x:c r="I102" s="81"/>
      <x:c r="J102" s="82" t="n">
        <x:v>46265</x:v>
      </x:c>
      <x:c r="K102" s="80" t="str">
        <x:v>Chatbot phải báo rõ chưa đủ dữ liệu/lịch sử; không tự tạo số.</x:v>
      </x:c>
      <x:c r="L102" s="80" t="str"/>
      <x:c r="M102" s="88" t="str">
        <x:v>Chưa chấm</x:v>
      </x:c>
      <x:c r="N102" s="88" t="str">
        <x:v>Chưa chấm</x:v>
      </x:c>
      <x:c r="O102" s="88" t="str">
        <x:v>Chưa chấm</x:v>
      </x:c>
      <x:c r="P102" s="89"/>
      <x:c r="Q102" s="90" t="str">
        <x:f>IF(AND(M102="Chưa chấm",N102="Chưa chấm",O102="Chưa chấm"),"Chưa test",IF(OR(M102="Không đạt",N102="Không đạt",O102="Không đạt"),"Không đạt",IF(AND(OR(M102="Đạt",M102="Không áp dụng"),OR(N102="Đạt",N102="Không áp dụng"),OR(O102="Đạt",O102="Không áp dụng")),"Đạt","Đang test")))</x:f>
        <x:v>Chưa test</x:v>
      </x:c>
      <x:c r="R102" s="88" t="str">
        <x:v>Chưa phân loại</x:v>
      </x:c>
      <x:c r="S102" s="80" t="str"/>
      <x:c r="T102" s="80" t="str"/>
      <x:c r="U102" s="82"/>
      <x:c r="V102" s="80" t="str">
        <x:v>Mới</x:v>
      </x:c>
      <x:c r="W102" s="80" t="str"/>
      <x:c r="X102" s="80" t="str"/>
    </x:row>
    <x:row r="103">
      <x:c r="A103" s="86" t="n">
        <x:v>99</x:v>
      </x:c>
      <x:c r="B103" s="86" t="str">
        <x:v>V01</x:v>
      </x:c>
      <x:c r="C103" s="86" t="str">
        <x:v>Quản lý vùng/đội</x:v>
      </x:c>
      <x:c r="D103" s="77" t="str">
        <x:v>Đội tôi đạt bao nhiêu doanh số và bao nhiêu % target tháng; MoM, YoY và YTD thế nào?</x:v>
      </x:c>
      <x:c r="E103" s="87" t="str">
        <x:v>S43</x:v>
      </x:c>
      <x:c r="F103" s="87" t="str">
        <x:v>Thiếu một phần dữ liệu</x:v>
      </x:c>
      <x:c r="G103" s="77" t="str">
        <x:v>Kiểm phần có dữ liệu; phần thiếu phải được thông báo rõ</x:v>
      </x:c>
      <x:c r="H103" s="80" t="str"/>
      <x:c r="I103" s="81"/>
      <x:c r="J103" s="82" t="n">
        <x:v>46265</x:v>
      </x:c>
      <x:c r="K103" s="80" t="str">
        <x:v>Đối chiếu file kết quả theo câu V01, checker S43.</x:v>
      </x:c>
      <x:c r="L103" s="80" t="str"/>
      <x:c r="M103" s="88" t="str">
        <x:v>Chưa chấm</x:v>
      </x:c>
      <x:c r="N103" s="88" t="str">
        <x:v>Chưa chấm</x:v>
      </x:c>
      <x:c r="O103" s="88" t="str">
        <x:v>Chưa chấm</x:v>
      </x:c>
      <x:c r="P103" s="89"/>
      <x:c r="Q103" s="90" t="str">
        <x:f>IF(AND(M103="Chưa chấm",N103="Chưa chấm",O103="Chưa chấm"),"Chưa test",IF(OR(M103="Không đạt",N103="Không đạt",O103="Không đạt"),"Không đạt",IF(AND(OR(M103="Đạt",M103="Không áp dụng"),OR(N103="Đạt",N103="Không áp dụng"),OR(O103="Đạt",O103="Không áp dụng")),"Đạt","Đang test")))</x:f>
        <x:v>Chưa test</x:v>
      </x:c>
      <x:c r="R103" s="88" t="str">
        <x:v>Chưa phân loại</x:v>
      </x:c>
      <x:c r="S103" s="80" t="str"/>
      <x:c r="T103" s="80" t="str"/>
      <x:c r="U103" s="82"/>
      <x:c r="V103" s="80" t="str">
        <x:v>Mới</x:v>
      </x:c>
      <x:c r="W103" s="80" t="str"/>
      <x:c r="X103" s="80" t="str"/>
    </x:row>
    <x:row r="104">
      <x:c r="A104" s="86" t="n">
        <x:v>100</x:v>
      </x:c>
      <x:c r="B104" s="86" t="str">
        <x:v>V02</x:v>
      </x:c>
      <x:c r="C104" s="86" t="str">
        <x:v>Quản lý vùng/đội</x:v>
      </x:c>
      <x:c r="D104" s="77" t="str">
        <x:v>Còn thiếu bao nhiêu để đạt 65/70%, 80%, 100% và 120%; mỗi ngày còn lại cần bán bao nhiêu?</x:v>
      </x:c>
      <x:c r="E104" s="87" t="str">
        <x:v>S59</x:v>
      </x:c>
      <x:c r="F104" s="87" t="str">
        <x:v>Thiếu một phần dữ liệu</x:v>
      </x:c>
      <x:c r="G104" s="77" t="str">
        <x:v>Kiểm phần có dữ liệu; phần thiếu phải được thông báo rõ</x:v>
      </x:c>
      <x:c r="H104" s="80" t="str"/>
      <x:c r="I104" s="81"/>
      <x:c r="J104" s="82" t="n">
        <x:v>46265</x:v>
      </x:c>
      <x:c r="K104" s="80" t="str">
        <x:v>Đối chiếu file kết quả theo câu V02, checker S59.</x:v>
      </x:c>
      <x:c r="L104" s="80" t="str"/>
      <x:c r="M104" s="88" t="str">
        <x:v>Chưa chấm</x:v>
      </x:c>
      <x:c r="N104" s="88" t="str">
        <x:v>Chưa chấm</x:v>
      </x:c>
      <x:c r="O104" s="88" t="str">
        <x:v>Chưa chấm</x:v>
      </x:c>
      <x:c r="P104" s="89"/>
      <x:c r="Q104" s="90" t="str">
        <x:f>IF(AND(M104="Chưa chấm",N104="Chưa chấm",O104="Chưa chấm"),"Chưa test",IF(OR(M104="Không đạt",N104="Không đạt",O104="Không đạt"),"Không đạt",IF(AND(OR(M104="Đạt",M104="Không áp dụng"),OR(N104="Đạt",N104="Không áp dụng"),OR(O104="Đạt",O104="Không áp dụng")),"Đạt","Đang test")))</x:f>
        <x:v>Chưa test</x:v>
      </x:c>
      <x:c r="R104" s="88" t="str">
        <x:v>Chưa phân loại</x:v>
      </x:c>
      <x:c r="S104" s="80" t="str"/>
      <x:c r="T104" s="80" t="str"/>
      <x:c r="U104" s="82"/>
      <x:c r="V104" s="80" t="str">
        <x:v>Mới</x:v>
      </x:c>
      <x:c r="W104" s="80" t="str"/>
      <x:c r="X104" s="80" t="str"/>
    </x:row>
    <x:row r="105">
      <x:c r="A105" s="86" t="n">
        <x:v>101</x:v>
      </x:c>
      <x:c r="B105" s="86" t="str">
        <x:v>V03</x:v>
      </x:c>
      <x:c r="C105" s="86" t="str">
        <x:v>Quản lý vùng/đội</x:v>
      </x:c>
      <x:c r="D105" s="77" t="str">
        <x:v>Doanh số từng ngày/tuần đang cao hay thấp hơn nhịp cần thiết; ngày nào không có phát sinh?</x:v>
      </x:c>
      <x:c r="E105" s="87" t="str">
        <x:v>S03</x:v>
      </x:c>
      <x:c r="F105" s="87" t="str">
        <x:v>Cần DNH chốt công thức</x:v>
      </x:c>
      <x:c r="G105" s="77" t="str">
        <x:v>Kiểm cách trình bày; chưa dùng làm chuẩn số trước khi DNH chốt</x:v>
      </x:c>
      <x:c r="H105" s="80" t="str"/>
      <x:c r="I105" s="81"/>
      <x:c r="J105" s="82" t="n">
        <x:v>46265</x:v>
      </x:c>
      <x:c r="K105" s="80" t="str">
        <x:v>Đối chiếu file kết quả theo câu V03, checker S03.</x:v>
      </x:c>
      <x:c r="L105" s="80" t="str"/>
      <x:c r="M105" s="88" t="str">
        <x:v>Chưa chấm</x:v>
      </x:c>
      <x:c r="N105" s="88" t="str">
        <x:v>Chưa chấm</x:v>
      </x:c>
      <x:c r="O105" s="88" t="str">
        <x:v>Chưa chấm</x:v>
      </x:c>
      <x:c r="P105" s="89"/>
      <x:c r="Q105" s="90" t="str">
        <x:f>IF(AND(M105="Chưa chấm",N105="Chưa chấm",O105="Chưa chấm"),"Chưa test",IF(OR(M105="Không đạt",N105="Không đạt",O105="Không đạt"),"Không đạt",IF(AND(OR(M105="Đạt",M105="Không áp dụng"),OR(N105="Đạt",N105="Không áp dụng"),OR(O105="Đạt",O105="Không áp dụng")),"Đạt","Đang test")))</x:f>
        <x:v>Chưa test</x:v>
      </x:c>
      <x:c r="R105" s="88" t="str">
        <x:v>Chưa phân loại</x:v>
      </x:c>
      <x:c r="S105" s="80" t="str"/>
      <x:c r="T105" s="80" t="str"/>
      <x:c r="U105" s="82"/>
      <x:c r="V105" s="80" t="str">
        <x:v>Mới</x:v>
      </x:c>
      <x:c r="W105" s="80" t="str"/>
      <x:c r="X105" s="80" t="str"/>
    </x:row>
    <x:row r="106">
      <x:c r="A106" s="86" t="n">
        <x:v>102</x:v>
      </x:c>
      <x:c r="B106" s="86" t="str">
        <x:v>V04</x:v>
      </x:c>
      <x:c r="C106" s="86" t="str">
        <x:v>Quản lý vùng/đội</x:v>
      </x:c>
      <x:c r="D106" s="77" t="str">
        <x:v>Nhân viên nào đóng góp nhiều nhất vào tăng/giảm doanh số đội tháng này?</x:v>
      </x:c>
      <x:c r="E106" s="87" t="str">
        <x:v>S39</x:v>
      </x:c>
      <x:c r="F106" s="87" t="str">
        <x:v>Đủ nguồn</x:v>
      </x:c>
      <x:c r="G106" s="77" t="str">
        <x:v>Đối chiếu số liệu, diễn giải và phân quyền</x:v>
      </x:c>
      <x:c r="H106" s="80" t="str"/>
      <x:c r="I106" s="81"/>
      <x:c r="J106" s="82" t="n">
        <x:v>46265</x:v>
      </x:c>
      <x:c r="K106" s="80" t="str">
        <x:v>Đối chiếu file kết quả theo câu V04, checker S39.</x:v>
      </x:c>
      <x:c r="L106" s="80" t="str"/>
      <x:c r="M106" s="88" t="str">
        <x:v>Chưa chấm</x:v>
      </x:c>
      <x:c r="N106" s="88" t="str">
        <x:v>Chưa chấm</x:v>
      </x:c>
      <x:c r="O106" s="88" t="str">
        <x:v>Chưa chấm</x:v>
      </x:c>
      <x:c r="P106" s="89"/>
      <x:c r="Q106" s="90" t="str">
        <x:f>IF(AND(M106="Chưa chấm",N106="Chưa chấm",O106="Chưa chấm"),"Chưa test",IF(OR(M106="Không đạt",N106="Không đạt",O106="Không đạt"),"Không đạt",IF(AND(OR(M106="Đạt",M106="Không áp dụng"),OR(N106="Đạt",N106="Không áp dụng"),OR(O106="Đạt",O106="Không áp dụng")),"Đạt","Đang test")))</x:f>
        <x:v>Chưa test</x:v>
      </x:c>
      <x:c r="R106" s="88" t="str">
        <x:v>Chưa phân loại</x:v>
      </x:c>
      <x:c r="S106" s="80" t="str"/>
      <x:c r="T106" s="80" t="str"/>
      <x:c r="U106" s="82"/>
      <x:c r="V106" s="80" t="str">
        <x:v>Mới</x:v>
      </x:c>
      <x:c r="W106" s="80" t="str"/>
      <x:c r="X106" s="80" t="str"/>
    </x:row>
    <x:row r="107">
      <x:c r="A107" s="86" t="n">
        <x:v>103</x:v>
      </x:c>
      <x:c r="B107" s="86" t="str">
        <x:v>V05</x:v>
      </x:c>
      <x:c r="C107" s="86" t="str">
        <x:v>Quản lý vùng/đội</x:v>
      </x:c>
      <x:c r="D107" s="77" t="str">
        <x:v>Nếu loại đơn hàng lớn bất thường và hàng trả, kết quả thực chất của đội là bao nhiêu?</x:v>
      </x:c>
      <x:c r="E107" s="87" t="str">
        <x:v>S09</x:v>
      </x:c>
      <x:c r="F107" s="87" t="str">
        <x:v>Đủ nguồn</x:v>
      </x:c>
      <x:c r="G107" s="77" t="str">
        <x:v>Đối chiếu số liệu, diễn giải và phân quyền</x:v>
      </x:c>
      <x:c r="H107" s="80" t="str"/>
      <x:c r="I107" s="81"/>
      <x:c r="J107" s="82" t="n">
        <x:v>46265</x:v>
      </x:c>
      <x:c r="K107" s="80" t="str">
        <x:v>Đối chiếu file kết quả theo câu V05, checker S09.</x:v>
      </x:c>
      <x:c r="L107" s="80" t="str"/>
      <x:c r="M107" s="88" t="str">
        <x:v>Chưa chấm</x:v>
      </x:c>
      <x:c r="N107" s="88" t="str">
        <x:v>Chưa chấm</x:v>
      </x:c>
      <x:c r="O107" s="88" t="str">
        <x:v>Chưa chấm</x:v>
      </x:c>
      <x:c r="P107" s="89"/>
      <x:c r="Q107" s="90" t="str">
        <x:f>IF(AND(M107="Chưa chấm",N107="Chưa chấm",O107="Chưa chấm"),"Chưa test",IF(OR(M107="Không đạt",N107="Không đạt",O107="Không đạt"),"Không đạt",IF(AND(OR(M107="Đạt",M107="Không áp dụng"),OR(N107="Đạt",N107="Không áp dụng"),OR(O107="Đạt",O107="Không áp dụng")),"Đạt","Đang test")))</x:f>
        <x:v>Chưa test</x:v>
      </x:c>
      <x:c r="R107" s="88" t="str">
        <x:v>Chưa phân loại</x:v>
      </x:c>
      <x:c r="S107" s="80" t="str"/>
      <x:c r="T107" s="80" t="str"/>
      <x:c r="U107" s="82"/>
      <x:c r="V107" s="80" t="str">
        <x:v>Mới</x:v>
      </x:c>
      <x:c r="W107" s="80" t="str"/>
      <x:c r="X107" s="80" t="str"/>
    </x:row>
    <x:row r="108">
      <x:c r="A108" s="86" t="n">
        <x:v>104</x:v>
      </x:c>
      <x:c r="B108" s="86" t="str">
        <x:v>V06</x:v>
      </x:c>
      <x:c r="C108" s="86" t="str">
        <x:v>Quản lý vùng/đội</x:v>
      </x:c>
      <x:c r="D108" s="77" t="str">
        <x:v>Doanh thu đội đến từ bao nhiêu khách, bao nhiêu đơn; AOV và tần suất mua thay đổi thế nào?</x:v>
      </x:c>
      <x:c r="E108" s="87" t="str">
        <x:v>S07</x:v>
      </x:c>
      <x:c r="F108" s="87" t="str">
        <x:v>Đủ nguồn</x:v>
      </x:c>
      <x:c r="G108" s="77" t="str">
        <x:v>Đối chiếu số liệu, diễn giải và phân quyền</x:v>
      </x:c>
      <x:c r="H108" s="80" t="str"/>
      <x:c r="I108" s="81"/>
      <x:c r="J108" s="82" t="n">
        <x:v>46265</x:v>
      </x:c>
      <x:c r="K108" s="80" t="str">
        <x:v>Đối chiếu file kết quả theo câu V06, checker S07.</x:v>
      </x:c>
      <x:c r="L108" s="80" t="str"/>
      <x:c r="M108" s="88" t="str">
        <x:v>Chưa chấm</x:v>
      </x:c>
      <x:c r="N108" s="88" t="str">
        <x:v>Chưa chấm</x:v>
      </x:c>
      <x:c r="O108" s="88" t="str">
        <x:v>Chưa chấm</x:v>
      </x:c>
      <x:c r="P108" s="89"/>
      <x:c r="Q108" s="90" t="str">
        <x:f>IF(AND(M108="Chưa chấm",N108="Chưa chấm",O108="Chưa chấm"),"Chưa test",IF(OR(M108="Không đạt",N108="Không đạt",O108="Không đạt"),"Không đạt",IF(AND(OR(M108="Đạt",M108="Không áp dụng"),OR(N108="Đạt",N108="Không áp dụng"),OR(O108="Đạt",O108="Không áp dụng")),"Đạt","Đang test")))</x:f>
        <x:v>Chưa test</x:v>
      </x:c>
      <x:c r="R108" s="88" t="str">
        <x:v>Chưa phân loại</x:v>
      </x:c>
      <x:c r="S108" s="80" t="str"/>
      <x:c r="T108" s="80" t="str"/>
      <x:c r="U108" s="82"/>
      <x:c r="V108" s="80" t="str">
        <x:v>Mới</x:v>
      </x:c>
      <x:c r="W108" s="80" t="str"/>
      <x:c r="X108" s="80" t="str"/>
    </x:row>
    <x:row r="109">
      <x:c r="A109" s="86" t="n">
        <x:v>105</x:v>
      </x:c>
      <x:c r="B109" s="86" t="str">
        <x:v>V07</x:v>
      </x:c>
      <x:c r="C109" s="86" t="str">
        <x:v>Quản lý vùng/đội</x:v>
      </x:c>
      <x:c r="D109" s="77" t="str">
        <x:v>So với 3 tháng gần nhất, tháng này đội giảm ở số khách, số đơn, sản lượng hay giá trị đơn?</x:v>
      </x:c>
      <x:c r="E109" s="87" t="str">
        <x:v>S05</x:v>
      </x:c>
      <x:c r="F109" s="87" t="str">
        <x:v>Cần DNH chốt công thức</x:v>
      </x:c>
      <x:c r="G109" s="77" t="str">
        <x:v>Kiểm cách trình bày; chưa dùng làm chuẩn số trước khi DNH chốt</x:v>
      </x:c>
      <x:c r="H109" s="80" t="str"/>
      <x:c r="I109" s="81"/>
      <x:c r="J109" s="82" t="n">
        <x:v>46265</x:v>
      </x:c>
      <x:c r="K109" s="80" t="str">
        <x:v>Đối chiếu file kết quả theo câu V07, checker S05.</x:v>
      </x:c>
      <x:c r="L109" s="80" t="str"/>
      <x:c r="M109" s="88" t="str">
        <x:v>Chưa chấm</x:v>
      </x:c>
      <x:c r="N109" s="88" t="str">
        <x:v>Chưa chấm</x:v>
      </x:c>
      <x:c r="O109" s="88" t="str">
        <x:v>Chưa chấm</x:v>
      </x:c>
      <x:c r="P109" s="89"/>
      <x:c r="Q109" s="90" t="str">
        <x:f>IF(AND(M109="Chưa chấm",N109="Chưa chấm",O109="Chưa chấm"),"Chưa test",IF(OR(M109="Không đạt",N109="Không đạt",O109="Không đạt"),"Không đạt",IF(AND(OR(M109="Đạt",M109="Không áp dụng"),OR(N109="Đạt",N109="Không áp dụng"),OR(O109="Đạt",O109="Không áp dụng")),"Đạt","Đang test")))</x:f>
        <x:v>Chưa test</x:v>
      </x:c>
      <x:c r="R109" s="88" t="str">
        <x:v>Chưa phân loại</x:v>
      </x:c>
      <x:c r="S109" s="80" t="str"/>
      <x:c r="T109" s="80" t="str"/>
      <x:c r="U109" s="82"/>
      <x:c r="V109" s="80" t="str">
        <x:v>Mới</x:v>
      </x:c>
      <x:c r="W109" s="80" t="str"/>
      <x:c r="X109" s="80" t="str"/>
    </x:row>
    <x:row r="110">
      <x:c r="A110" s="86" t="n">
        <x:v>106</x:v>
      </x:c>
      <x:c r="B110" s="86" t="str">
        <x:v>V08</x:v>
      </x:c>
      <x:c r="C110" s="86" t="str">
        <x:v>Quản lý vùng/đội</x:v>
      </x:c>
      <x:c r="D110" s="77" t="str">
        <x:v>Tỉnh/địa bàn con nào đang dưới kế hoạch; phần hụt là bao nhiêu và TDV nào phụ trách?</x:v>
      </x:c>
      <x:c r="E110" s="87" t="str">
        <x:v>S60</x:v>
      </x:c>
      <x:c r="F110" s="87" t="str">
        <x:v>Thiếu một phần dữ liệu</x:v>
      </x:c>
      <x:c r="G110" s="77" t="str">
        <x:v>Kiểm phần có dữ liệu; phần thiếu phải được thông báo rõ</x:v>
      </x:c>
      <x:c r="H110" s="80" t="str"/>
      <x:c r="I110" s="81"/>
      <x:c r="J110" s="82" t="n">
        <x:v>46265</x:v>
      </x:c>
      <x:c r="K110" s="80" t="str">
        <x:v>Đối chiếu file kết quả theo câu V08, checker S60.</x:v>
      </x:c>
      <x:c r="L110" s="80" t="str"/>
      <x:c r="M110" s="88" t="str">
        <x:v>Chưa chấm</x:v>
      </x:c>
      <x:c r="N110" s="88" t="str">
        <x:v>Chưa chấm</x:v>
      </x:c>
      <x:c r="O110" s="88" t="str">
        <x:v>Chưa chấm</x:v>
      </x:c>
      <x:c r="P110" s="89"/>
      <x:c r="Q110" s="90" t="str">
        <x:f>IF(AND(M110="Chưa chấm",N110="Chưa chấm",O110="Chưa chấm"),"Chưa test",IF(OR(M110="Không đạt",N110="Không đạt",O110="Không đạt"),"Không đạt",IF(AND(OR(M110="Đạt",M110="Không áp dụng"),OR(N110="Đạt",N110="Không áp dụng"),OR(O110="Đạt",O110="Không áp dụng")),"Đạt","Đang test")))</x:f>
        <x:v>Chưa test</x:v>
      </x:c>
      <x:c r="R110" s="88" t="str">
        <x:v>Chưa phân loại</x:v>
      </x:c>
      <x:c r="S110" s="80" t="str"/>
      <x:c r="T110" s="80" t="str"/>
      <x:c r="U110" s="82"/>
      <x:c r="V110" s="80" t="str">
        <x:v>Mới</x:v>
      </x:c>
      <x:c r="W110" s="80" t="str"/>
      <x:c r="X110" s="80" t="str"/>
    </x:row>
    <x:row r="111">
      <x:c r="A111" s="86" t="n">
        <x:v>107</x:v>
      </x:c>
      <x:c r="B111" s="86" t="str">
        <x:v>V09</x:v>
      </x:c>
      <x:c r="C111" s="86" t="str">
        <x:v>Quản lý vùng/đội</x:v>
      </x:c>
      <x:c r="D111" s="77" t="str">
        <x:v>Dự báo cuối tháng của đội theo run-rate hiện tại; kịch bản cơ sở/tốt/xấu là bao nhiêu?</x:v>
      </x:c>
      <x:c r="E111" s="87" t="str">
        <x:v>S35</x:v>
      </x:c>
      <x:c r="F111" s="87" t="str">
        <x:v>Thiếu một phần dữ liệu</x:v>
      </x:c>
      <x:c r="G111" s="77" t="str">
        <x:v>Kiểm phần có dữ liệu; phần thiếu phải được thông báo rõ</x:v>
      </x:c>
      <x:c r="H111" s="80" t="str"/>
      <x:c r="I111" s="81"/>
      <x:c r="J111" s="82" t="n">
        <x:v>46265</x:v>
      </x:c>
      <x:c r="K111" s="80" t="str">
        <x:v>Đối chiếu file kết quả theo câu V09, checker S35.</x:v>
      </x:c>
      <x:c r="L111" s="80" t="str"/>
      <x:c r="M111" s="88" t="str">
        <x:v>Chưa chấm</x:v>
      </x:c>
      <x:c r="N111" s="88" t="str">
        <x:v>Chưa chấm</x:v>
      </x:c>
      <x:c r="O111" s="88" t="str">
        <x:v>Chưa chấm</x:v>
      </x:c>
      <x:c r="P111" s="89"/>
      <x:c r="Q111" s="90" t="str">
        <x:f>IF(AND(M111="Chưa chấm",N111="Chưa chấm",O111="Chưa chấm"),"Chưa test",IF(OR(M111="Không đạt",N111="Không đạt",O111="Không đạt"),"Không đạt",IF(AND(OR(M111="Đạt",M111="Không áp dụng"),OR(N111="Đạt",N111="Không áp dụng"),OR(O111="Đạt",O111="Không áp dụng")),"Đạt","Đang test")))</x:f>
        <x:v>Chưa test</x:v>
      </x:c>
      <x:c r="R111" s="88" t="str">
        <x:v>Chưa phân loại</x:v>
      </x:c>
      <x:c r="S111" s="80" t="str"/>
      <x:c r="T111" s="80" t="str"/>
      <x:c r="U111" s="82"/>
      <x:c r="V111" s="80" t="str">
        <x:v>Mới</x:v>
      </x:c>
      <x:c r="W111" s="80" t="str"/>
      <x:c r="X111" s="80" t="str"/>
    </x:row>
    <x:row r="112">
      <x:c r="A112" s="86" t="n">
        <x:v>108</x:v>
      </x:c>
      <x:c r="B112" s="86" t="str">
        <x:v>V10</x:v>
      </x:c>
      <x:c r="C112" s="86" t="str">
        <x:v>Quản lý vùng/đội</x:v>
      </x:c>
      <x:c r="D112" s="77" t="str">
        <x:v>Hôm nay/tuần này cần ưu tiên khách hàng, sản phẩm và nhân viên nào để đóng gap lớn nhất?</x:v>
      </x:c>
      <x:c r="E112" s="87" t="str">
        <x:v>S84</x:v>
      </x:c>
      <x:c r="F112" s="87" t="str">
        <x:v>Đủ nguồn</x:v>
      </x:c>
      <x:c r="G112" s="77" t="str">
        <x:v>Đối chiếu số liệu, diễn giải và phân quyền</x:v>
      </x:c>
      <x:c r="H112" s="80" t="str"/>
      <x:c r="I112" s="81"/>
      <x:c r="J112" s="82" t="n">
        <x:v>46265</x:v>
      </x:c>
      <x:c r="K112" s="80" t="str">
        <x:v>Đối chiếu file kết quả theo câu V10, checker S84.</x:v>
      </x:c>
      <x:c r="L112" s="80" t="str"/>
      <x:c r="M112" s="88" t="str">
        <x:v>Chưa chấm</x:v>
      </x:c>
      <x:c r="N112" s="88" t="str">
        <x:v>Chưa chấm</x:v>
      </x:c>
      <x:c r="O112" s="88" t="str">
        <x:v>Chưa chấm</x:v>
      </x:c>
      <x:c r="P112" s="89"/>
      <x:c r="Q112" s="90" t="str">
        <x:f>IF(AND(M112="Chưa chấm",N112="Chưa chấm",O112="Chưa chấm"),"Chưa test",IF(OR(M112="Không đạt",N112="Không đạt",O112="Không đạt"),"Không đạt",IF(AND(OR(M112="Đạt",M112="Không áp dụng"),OR(N112="Đạt",N112="Không áp dụng"),OR(O112="Đạt",O112="Không áp dụng")),"Đạt","Đang test")))</x:f>
        <x:v>Chưa test</x:v>
      </x:c>
      <x:c r="R112" s="88" t="str">
        <x:v>Chưa phân loại</x:v>
      </x:c>
      <x:c r="S112" s="80" t="str"/>
      <x:c r="T112" s="80" t="str"/>
      <x:c r="U112" s="82"/>
      <x:c r="V112" s="80" t="str">
        <x:v>Mới</x:v>
      </x:c>
      <x:c r="W112" s="80" t="str"/>
      <x:c r="X112" s="80" t="str"/>
    </x:row>
    <x:row r="113">
      <x:c r="A113" s="86" t="n">
        <x:v>109</x:v>
      </x:c>
      <x:c r="B113" s="86" t="str">
        <x:v>V11</x:v>
      </x:c>
      <x:c r="C113" s="86" t="str">
        <x:v>Quản lý vùng/đội</x:v>
      </x:c>
      <x:c r="D113" s="77" t="str">
        <x:v>Doanh số, target và % hoàn thành từng TDV theo tháng; xếp hạng và xu hướng 3/6 tháng?</x:v>
      </x:c>
      <x:c r="E113" s="87" t="str">
        <x:v>S56</x:v>
      </x:c>
      <x:c r="F113" s="87" t="str">
        <x:v>Đủ nguồn</x:v>
      </x:c>
      <x:c r="G113" s="77" t="str">
        <x:v>Đối chiếu số liệu, diễn giải và phân quyền</x:v>
      </x:c>
      <x:c r="H113" s="80" t="str"/>
      <x:c r="I113" s="81"/>
      <x:c r="J113" s="82" t="n">
        <x:v>46265</x:v>
      </x:c>
      <x:c r="K113" s="80" t="str">
        <x:v>Đối chiếu file kết quả theo câu V11, checker S56.</x:v>
      </x:c>
      <x:c r="L113" s="80" t="str"/>
      <x:c r="M113" s="88" t="str">
        <x:v>Chưa chấm</x:v>
      </x:c>
      <x:c r="N113" s="88" t="str">
        <x:v>Chưa chấm</x:v>
      </x:c>
      <x:c r="O113" s="88" t="str">
        <x:v>Chưa chấm</x:v>
      </x:c>
      <x:c r="P113" s="89"/>
      <x:c r="Q113" s="90" t="str">
        <x:f>IF(AND(M113="Chưa chấm",N113="Chưa chấm",O113="Chưa chấm"),"Chưa test",IF(OR(M113="Không đạt",N113="Không đạt",O113="Không đạt"),"Không đạt",IF(AND(OR(M113="Đạt",M113="Không áp dụng"),OR(N113="Đạt",N113="Không áp dụng"),OR(O113="Đạt",O113="Không áp dụng")),"Đạt","Đang test")))</x:f>
        <x:v>Chưa test</x:v>
      </x:c>
      <x:c r="R113" s="88" t="str">
        <x:v>Chưa phân loại</x:v>
      </x:c>
      <x:c r="S113" s="80" t="str"/>
      <x:c r="T113" s="80" t="str"/>
      <x:c r="U113" s="82"/>
      <x:c r="V113" s="80" t="str">
        <x:v>Mới</x:v>
      </x:c>
      <x:c r="W113" s="80" t="str"/>
      <x:c r="X113" s="80" t="str"/>
    </x:row>
    <x:row r="114">
      <x:c r="A114" s="86" t="n">
        <x:v>110</x:v>
      </x:c>
      <x:c r="B114" s="86" t="str">
        <x:v>V12</x:v>
      </x:c>
      <x:c r="C114" s="86" t="str">
        <x:v>Quản lý vùng/đội</x:v>
      </x:c>
      <x:c r="D114" s="77" t="str">
        <x:v>Ai dưới 65/70%, dưới 80%, đạt 100% hoặc vượt 120%; mỗi người còn thiếu bao nhiêu tiền?</x:v>
      </x:c>
      <x:c r="E114" s="87" t="str">
        <x:v>S31</x:v>
      </x:c>
      <x:c r="F114" s="87" t="str">
        <x:v>Đủ nguồn</x:v>
      </x:c>
      <x:c r="G114" s="77" t="str">
        <x:v>Đối chiếu số liệu, diễn giải và phân quyền</x:v>
      </x:c>
      <x:c r="H114" s="80" t="str"/>
      <x:c r="I114" s="81"/>
      <x:c r="J114" s="82" t="n">
        <x:v>46265</x:v>
      </x:c>
      <x:c r="K114" s="80" t="str">
        <x:v>Đối chiếu file kết quả theo câu V12, checker S31.</x:v>
      </x:c>
      <x:c r="L114" s="80" t="str"/>
      <x:c r="M114" s="88" t="str">
        <x:v>Chưa chấm</x:v>
      </x:c>
      <x:c r="N114" s="88" t="str">
        <x:v>Chưa chấm</x:v>
      </x:c>
      <x:c r="O114" s="88" t="str">
        <x:v>Chưa chấm</x:v>
      </x:c>
      <x:c r="P114" s="89"/>
      <x:c r="Q114" s="90" t="str">
        <x:f>IF(AND(M114="Chưa chấm",N114="Chưa chấm",O114="Chưa chấm"),"Chưa test",IF(OR(M114="Không đạt",N114="Không đạt",O114="Không đạt"),"Không đạt",IF(AND(OR(M114="Đạt",M114="Không áp dụng"),OR(N114="Đạt",N114="Không áp dụng"),OR(O114="Đạt",O114="Không áp dụng")),"Đạt","Đang test")))</x:f>
        <x:v>Chưa test</x:v>
      </x:c>
      <x:c r="R114" s="88" t="str">
        <x:v>Chưa phân loại</x:v>
      </x:c>
      <x:c r="S114" s="80" t="str"/>
      <x:c r="T114" s="80" t="str"/>
      <x:c r="U114" s="82"/>
      <x:c r="V114" s="80" t="str">
        <x:v>Mới</x:v>
      </x:c>
      <x:c r="W114" s="80" t="str"/>
      <x:c r="X114" s="80" t="str"/>
    </x:row>
    <x:row r="115">
      <x:c r="A115" s="86" t="n">
        <x:v>111</x:v>
      </x:c>
      <x:c r="B115" s="86" t="str">
        <x:v>V13</x:v>
      </x:c>
      <x:c r="C115" s="86" t="str">
        <x:v>Quản lý vùng/đội</x:v>
      </x:c>
      <x:c r="D115" s="77" t="str">
        <x:v>Ai giảm liên tiếp 2–3 tháng; nguyên nhân nằm ở khách mất, ít đơn, ít SKU hay giá trị đơn giảm?</x:v>
      </x:c>
      <x:c r="E115" s="87" t="str">
        <x:v>S57</x:v>
      </x:c>
      <x:c r="F115" s="87" t="str">
        <x:v>Đủ nguồn</x:v>
      </x:c>
      <x:c r="G115" s="77" t="str">
        <x:v>Đối chiếu số liệu, diễn giải và phân quyền</x:v>
      </x:c>
      <x:c r="H115" s="80" t="str"/>
      <x:c r="I115" s="81"/>
      <x:c r="J115" s="82" t="n">
        <x:v>46265</x:v>
      </x:c>
      <x:c r="K115" s="80" t="str">
        <x:v>Đối chiếu file kết quả theo câu V13, checker S57.</x:v>
      </x:c>
      <x:c r="L115" s="80" t="str"/>
      <x:c r="M115" s="88" t="str">
        <x:v>Chưa chấm</x:v>
      </x:c>
      <x:c r="N115" s="88" t="str">
        <x:v>Chưa chấm</x:v>
      </x:c>
      <x:c r="O115" s="88" t="str">
        <x:v>Chưa chấm</x:v>
      </x:c>
      <x:c r="P115" s="89"/>
      <x:c r="Q115" s="90" t="str">
        <x:f>IF(AND(M115="Chưa chấm",N115="Chưa chấm",O115="Chưa chấm"),"Chưa test",IF(OR(M115="Không đạt",N115="Không đạt",O115="Không đạt"),"Không đạt",IF(AND(OR(M115="Đạt",M115="Không áp dụng"),OR(N115="Đạt",N115="Không áp dụng"),OR(O115="Đạt",O115="Không áp dụng")),"Đạt","Đang test")))</x:f>
        <x:v>Chưa test</x:v>
      </x:c>
      <x:c r="R115" s="88" t="str">
        <x:v>Chưa phân loại</x:v>
      </x:c>
      <x:c r="S115" s="80" t="str"/>
      <x:c r="T115" s="80" t="str"/>
      <x:c r="U115" s="82"/>
      <x:c r="V115" s="80" t="str">
        <x:v>Mới</x:v>
      </x:c>
      <x:c r="W115" s="80" t="str"/>
      <x:c r="X115" s="80" t="str"/>
    </x:row>
    <x:row r="116">
      <x:c r="A116" s="86" t="n">
        <x:v>112</x:v>
      </x:c>
      <x:c r="B116" s="86" t="str">
        <x:v>V14</x:v>
      </x:c>
      <x:c r="C116" s="86" t="str">
        <x:v>Quản lý vùng/đội</x:v>
      </x:c>
      <x:c r="D116" s="77" t="str">
        <x:v>Ai có nhiều khách phụ trách nhưng tỷ lệ khách mua thấp; ai có ít khách nhưng doanh thu/khách cao?</x:v>
      </x:c>
      <x:c r="E116" s="87" t="str">
        <x:v>S44</x:v>
      </x:c>
      <x:c r="F116" s="87" t="str">
        <x:v>Đủ nguồn</x:v>
      </x:c>
      <x:c r="G116" s="77" t="str">
        <x:v>Đối chiếu số liệu, diễn giải và phân quyền</x:v>
      </x:c>
      <x:c r="H116" s="80" t="str"/>
      <x:c r="I116" s="81"/>
      <x:c r="J116" s="82" t="n">
        <x:v>46265</x:v>
      </x:c>
      <x:c r="K116" s="80" t="str">
        <x:v>Đối chiếu file kết quả theo câu V14, checker S44.</x:v>
      </x:c>
      <x:c r="L116" s="80" t="str"/>
      <x:c r="M116" s="88" t="str">
        <x:v>Chưa chấm</x:v>
      </x:c>
      <x:c r="N116" s="88" t="str">
        <x:v>Chưa chấm</x:v>
      </x:c>
      <x:c r="O116" s="88" t="str">
        <x:v>Chưa chấm</x:v>
      </x:c>
      <x:c r="P116" s="89"/>
      <x:c r="Q116" s="90" t="str">
        <x:f>IF(AND(M116="Chưa chấm",N116="Chưa chấm",O116="Chưa chấm"),"Chưa test",IF(OR(M116="Không đạt",N116="Không đạt",O116="Không đạt"),"Không đạt",IF(AND(OR(M116="Đạt",M116="Không áp dụng"),OR(N116="Đạt",N116="Không áp dụng"),OR(O116="Đạt",O116="Không áp dụng")),"Đạt","Đang test")))</x:f>
        <x:v>Chưa test</x:v>
      </x:c>
      <x:c r="R116" s="88" t="str">
        <x:v>Chưa phân loại</x:v>
      </x:c>
      <x:c r="S116" s="80" t="str"/>
      <x:c r="T116" s="80" t="str"/>
      <x:c r="U116" s="82"/>
      <x:c r="V116" s="80" t="str">
        <x:v>Mới</x:v>
      </x:c>
      <x:c r="W116" s="80" t="str"/>
      <x:c r="X116" s="80" t="str"/>
    </x:row>
    <x:row r="117">
      <x:c r="A117" s="86" t="n">
        <x:v>113</x:v>
      </x:c>
      <x:c r="B117" s="86" t="str">
        <x:v>V15</x:v>
      </x:c>
      <x:c r="C117" s="86" t="str">
        <x:v>Quản lý vùng/đội</x:v>
      </x:c>
      <x:c r="D117" s="77" t="str">
        <x:v>Ai mở nhiều khách mới nhưng tỷ lệ mua lại thấp; ai tái kích hoạt khách tốt nhất?</x:v>
      </x:c>
      <x:c r="E117" s="87" t="str">
        <x:v>S61</x:v>
      </x:c>
      <x:c r="F117" s="87" t="str">
        <x:v>Đủ nguồn</x:v>
      </x:c>
      <x:c r="G117" s="77" t="str">
        <x:v>Đối chiếu số liệu, diễn giải và phân quyền</x:v>
      </x:c>
      <x:c r="H117" s="80" t="str"/>
      <x:c r="I117" s="81"/>
      <x:c r="J117" s="82" t="n">
        <x:v>46265</x:v>
      </x:c>
      <x:c r="K117" s="80" t="str">
        <x:v>Đối chiếu file kết quả theo câu V15, checker S61.</x:v>
      </x:c>
      <x:c r="L117" s="80" t="str"/>
      <x:c r="M117" s="88" t="str">
        <x:v>Chưa chấm</x:v>
      </x:c>
      <x:c r="N117" s="88" t="str">
        <x:v>Chưa chấm</x:v>
      </x:c>
      <x:c r="O117" s="88" t="str">
        <x:v>Chưa chấm</x:v>
      </x:c>
      <x:c r="P117" s="89"/>
      <x:c r="Q117" s="90" t="str">
        <x:f>IF(AND(M117="Chưa chấm",N117="Chưa chấm",O117="Chưa chấm"),"Chưa test",IF(OR(M117="Không đạt",N117="Không đạt",O117="Không đạt"),"Không đạt",IF(AND(OR(M117="Đạt",M117="Không áp dụng"),OR(N117="Đạt",N117="Không áp dụng"),OR(O117="Đạt",O117="Không áp dụng")),"Đạt","Đang test")))</x:f>
        <x:v>Chưa test</x:v>
      </x:c>
      <x:c r="R117" s="88" t="str">
        <x:v>Chưa phân loại</x:v>
      </x:c>
      <x:c r="S117" s="80" t="str"/>
      <x:c r="T117" s="80" t="str"/>
      <x:c r="U117" s="82"/>
      <x:c r="V117" s="80" t="str">
        <x:v>Mới</x:v>
      </x:c>
      <x:c r="W117" s="80" t="str"/>
      <x:c r="X117" s="80" t="str"/>
    </x:row>
    <x:row r="118">
      <x:c r="A118" s="86" t="n">
        <x:v>114</x:v>
      </x:c>
      <x:c r="B118" s="86" t="str">
        <x:v>V16</x:v>
      </x:c>
      <x:c r="C118" s="86" t="str">
        <x:v>Quản lý vùng/đội</x:v>
      </x:c>
      <x:c r="D118" s="77" t="str">
        <x:v>Ai có ngày làm việc/đi tuyến nhưng không phát sinh đơn; tỷ lệ viếng thăm có đơn là bao nhiêu?</x:v>
      </x:c>
      <x:c r="E118" s="87" t="str">
        <x:v>S34</x:v>
      </x:c>
      <x:c r="F118" s="87" t="str">
        <x:v>Đủ nguồn</x:v>
      </x:c>
      <x:c r="G118" s="77" t="str">
        <x:v>Đối chiếu số liệu, diễn giải và phân quyền</x:v>
      </x:c>
      <x:c r="H118" s="80" t="str"/>
      <x:c r="I118" s="81"/>
      <x:c r="J118" s="82" t="n">
        <x:v>46265</x:v>
      </x:c>
      <x:c r="K118" s="80" t="str">
        <x:v>Đối chiếu file kết quả theo câu V16, checker S34.</x:v>
      </x:c>
      <x:c r="L118" s="80" t="str"/>
      <x:c r="M118" s="88" t="str">
        <x:v>Chưa chấm</x:v>
      </x:c>
      <x:c r="N118" s="88" t="str">
        <x:v>Chưa chấm</x:v>
      </x:c>
      <x:c r="O118" s="88" t="str">
        <x:v>Chưa chấm</x:v>
      </x:c>
      <x:c r="P118" s="89"/>
      <x:c r="Q118" s="90" t="str">
        <x:f>IF(AND(M118="Chưa chấm",N118="Chưa chấm",O118="Chưa chấm"),"Chưa test",IF(OR(M118="Không đạt",N118="Không đạt",O118="Không đạt"),"Không đạt",IF(AND(OR(M118="Đạt",M118="Không áp dụng"),OR(N118="Đạt",N118="Không áp dụng"),OR(O118="Đạt",O118="Không áp dụng")),"Đạt","Đang test")))</x:f>
        <x:v>Chưa test</x:v>
      </x:c>
      <x:c r="R118" s="88" t="str">
        <x:v>Chưa phân loại</x:v>
      </x:c>
      <x:c r="S118" s="80" t="str"/>
      <x:c r="T118" s="80" t="str"/>
      <x:c r="U118" s="82"/>
      <x:c r="V118" s="80" t="str">
        <x:v>Mới</x:v>
      </x:c>
      <x:c r="W118" s="80" t="str"/>
      <x:c r="X118" s="80" t="str"/>
    </x:row>
    <x:row r="119">
      <x:c r="A119" s="86" t="n">
        <x:v>115</x:v>
      </x:c>
      <x:c r="B119" s="86" t="str">
        <x:v>V17</x:v>
      </x:c>
      <x:c r="C119" s="86" t="str">
        <x:v>Quản lý vùng/đội</x:v>
      </x:c>
      <x:c r="D119" s="77" t="str">
        <x:v>Nhân viên nào có doanh số nhưng thiếu target, thiếu manager, sai địa bàn hoặc trùng mã?</x:v>
      </x:c>
      <x:c r="E119" s="87" t="str">
        <x:v>S38</x:v>
      </x:c>
      <x:c r="F119" s="87" t="str">
        <x:v>Đủ nguồn</x:v>
      </x:c>
      <x:c r="G119" s="77" t="str">
        <x:v>Đối chiếu số liệu, diễn giải và phân quyền</x:v>
      </x:c>
      <x:c r="H119" s="80" t="str"/>
      <x:c r="I119" s="81"/>
      <x:c r="J119" s="82" t="n">
        <x:v>46265</x:v>
      </x:c>
      <x:c r="K119" s="80" t="str">
        <x:v>Đối chiếu file kết quả theo câu V17, checker S38.</x:v>
      </x:c>
      <x:c r="L119" s="80" t="str"/>
      <x:c r="M119" s="88" t="str">
        <x:v>Chưa chấm</x:v>
      </x:c>
      <x:c r="N119" s="88" t="str">
        <x:v>Chưa chấm</x:v>
      </x:c>
      <x:c r="O119" s="88" t="str">
        <x:v>Chưa chấm</x:v>
      </x:c>
      <x:c r="P119" s="89"/>
      <x:c r="Q119" s="90" t="str">
        <x:f>IF(AND(M119="Chưa chấm",N119="Chưa chấm",O119="Chưa chấm"),"Chưa test",IF(OR(M119="Không đạt",N119="Không đạt",O119="Không đạt"),"Không đạt",IF(AND(OR(M119="Đạt",M119="Không áp dụng"),OR(N119="Đạt",N119="Không áp dụng"),OR(O119="Đạt",O119="Không áp dụng")),"Đạt","Đang test")))</x:f>
        <x:v>Chưa test</x:v>
      </x:c>
      <x:c r="R119" s="88" t="str">
        <x:v>Chưa phân loại</x:v>
      </x:c>
      <x:c r="S119" s="80" t="str"/>
      <x:c r="T119" s="80" t="str"/>
      <x:c r="U119" s="82"/>
      <x:c r="V119" s="80" t="str">
        <x:v>Mới</x:v>
      </x:c>
      <x:c r="W119" s="80" t="str"/>
      <x:c r="X119" s="80" t="str"/>
    </x:row>
    <x:row r="120">
      <x:c r="A120" s="86" t="n">
        <x:v>116</x:v>
      </x:c>
      <x:c r="B120" s="86" t="str">
        <x:v>V18</x:v>
      </x:c>
      <x:c r="C120" s="86" t="str">
        <x:v>Quản lý vùng/đội</x:v>
      </x:c>
      <x:c r="D120" s="77" t="str">
        <x:v>Thưởng và phụ cấp từng người thay đổi thế nào; có điểm nào không khớp KPI/chính sách?</x:v>
      </x:c>
      <x:c r="E120" s="87" t="str">
        <x:v>S33</x:v>
      </x:c>
      <x:c r="F120" s="87" t="str">
        <x:v>Thiếu một phần dữ liệu</x:v>
      </x:c>
      <x:c r="G120" s="77" t="str">
        <x:v>Kiểm phần có dữ liệu; phần thiếu phải được thông báo rõ</x:v>
      </x:c>
      <x:c r="H120" s="80" t="str"/>
      <x:c r="I120" s="81"/>
      <x:c r="J120" s="82" t="n">
        <x:v>46265</x:v>
      </x:c>
      <x:c r="K120" s="80" t="str">
        <x:v>Đối chiếu file kết quả theo câu V18, checker S33.</x:v>
      </x:c>
      <x:c r="L120" s="80" t="str"/>
      <x:c r="M120" s="88" t="str">
        <x:v>Chưa chấm</x:v>
      </x:c>
      <x:c r="N120" s="88" t="str">
        <x:v>Chưa chấm</x:v>
      </x:c>
      <x:c r="O120" s="88" t="str">
        <x:v>Chưa chấm</x:v>
      </x:c>
      <x:c r="P120" s="89"/>
      <x:c r="Q120" s="90" t="str">
        <x:f>IF(AND(M120="Chưa chấm",N120="Chưa chấm",O120="Chưa chấm"),"Chưa test",IF(OR(M120="Không đạt",N120="Không đạt",O120="Không đạt"),"Không đạt",IF(AND(OR(M120="Đạt",M120="Không áp dụng"),OR(N120="Đạt",N120="Không áp dụng"),OR(O120="Đạt",O120="Không áp dụng")),"Đạt","Đang test")))</x:f>
        <x:v>Chưa test</x:v>
      </x:c>
      <x:c r="R120" s="88" t="str">
        <x:v>Chưa phân loại</x:v>
      </x:c>
      <x:c r="S120" s="80" t="str"/>
      <x:c r="T120" s="80" t="str"/>
      <x:c r="U120" s="82"/>
      <x:c r="V120" s="80" t="str">
        <x:v>Mới</x:v>
      </x:c>
      <x:c r="W120" s="80" t="str"/>
      <x:c r="X120" s="80" t="str"/>
    </x:row>
    <x:row r="121">
      <x:c r="A121" s="86" t="n">
        <x:v>117</x:v>
      </x:c>
      <x:c r="B121" s="86" t="str">
        <x:v>V19</x:v>
      </x:c>
      <x:c r="C121" s="86" t="str">
        <x:v>Quản lý vùng/đội</x:v>
      </x:c>
      <x:c r="D121" s="77" t="str">
        <x:v>Top khách hàng đội tôi từng tháng là ai; khách nào tăng/giảm mạnh nhất?</x:v>
      </x:c>
      <x:c r="E121" s="87" t="str">
        <x:v>S20</x:v>
      </x:c>
      <x:c r="F121" s="87" t="str">
        <x:v>Đủ nguồn</x:v>
      </x:c>
      <x:c r="G121" s="77" t="str">
        <x:v>Đối chiếu số liệu, diễn giải và phân quyền</x:v>
      </x:c>
      <x:c r="H121" s="80" t="str"/>
      <x:c r="I121" s="81"/>
      <x:c r="J121" s="82" t="n">
        <x:v>46265</x:v>
      </x:c>
      <x:c r="K121" s="80" t="str">
        <x:v>Đối chiếu file kết quả theo câu V19, checker S20.</x:v>
      </x:c>
      <x:c r="L121" s="80" t="str"/>
      <x:c r="M121" s="88" t="str">
        <x:v>Chưa chấm</x:v>
      </x:c>
      <x:c r="N121" s="88" t="str">
        <x:v>Chưa chấm</x:v>
      </x:c>
      <x:c r="O121" s="88" t="str">
        <x:v>Chưa chấm</x:v>
      </x:c>
      <x:c r="P121" s="89"/>
      <x:c r="Q121" s="90" t="str">
        <x:f>IF(AND(M121="Chưa chấm",N121="Chưa chấm",O121="Chưa chấm"),"Chưa test",IF(OR(M121="Không đạt",N121="Không đạt",O121="Không đạt"),"Không đạt",IF(AND(OR(M121="Đạt",M121="Không áp dụng"),OR(N121="Đạt",N121="Không áp dụng"),OR(O121="Đạt",O121="Không áp dụng")),"Đạt","Đang test")))</x:f>
        <x:v>Chưa test</x:v>
      </x:c>
      <x:c r="R121" s="88" t="str">
        <x:v>Chưa phân loại</x:v>
      </x:c>
      <x:c r="S121" s="80" t="str"/>
      <x:c r="T121" s="80" t="str"/>
      <x:c r="U121" s="82"/>
      <x:c r="V121" s="80" t="str">
        <x:v>Mới</x:v>
      </x:c>
      <x:c r="W121" s="80" t="str"/>
      <x:c r="X121" s="80" t="str"/>
    </x:row>
    <x:row r="122">
      <x:c r="A122" s="86" t="n">
        <x:v>118</x:v>
      </x:c>
      <x:c r="B122" s="86" t="str">
        <x:v>V20</x:v>
      </x:c>
      <x:c r="C122" s="86" t="str">
        <x:v>Quản lý vùng/đội</x:v>
      </x:c>
      <x:c r="D122" s="77" t="str">
        <x:v>Khách đã mua tháng trước nhưng chưa mua tháng này là ai; doanh thu có nguy cơ mất bao nhiêu?</x:v>
      </x:c>
      <x:c r="E122" s="87" t="str">
        <x:v>S40</x:v>
      </x:c>
      <x:c r="F122" s="87" t="str">
        <x:v>Đủ nguồn</x:v>
      </x:c>
      <x:c r="G122" s="77" t="str">
        <x:v>Đối chiếu số liệu, diễn giải và phân quyền</x:v>
      </x:c>
      <x:c r="H122" s="80" t="str"/>
      <x:c r="I122" s="81"/>
      <x:c r="J122" s="82" t="n">
        <x:v>46265</x:v>
      </x:c>
      <x:c r="K122" s="80" t="str">
        <x:v>Đối chiếu file kết quả theo câu V20, checker S40.</x:v>
      </x:c>
      <x:c r="L122" s="80" t="str"/>
      <x:c r="M122" s="88" t="str">
        <x:v>Chưa chấm</x:v>
      </x:c>
      <x:c r="N122" s="88" t="str">
        <x:v>Chưa chấm</x:v>
      </x:c>
      <x:c r="O122" s="88" t="str">
        <x:v>Chưa chấm</x:v>
      </x:c>
      <x:c r="P122" s="89"/>
      <x:c r="Q122" s="90" t="str">
        <x:f>IF(AND(M122="Chưa chấm",N122="Chưa chấm",O122="Chưa chấm"),"Chưa test",IF(OR(M122="Không đạt",N122="Không đạt",O122="Không đạt"),"Không đạt",IF(AND(OR(M122="Đạt",M122="Không áp dụng"),OR(N122="Đạt",N122="Không áp dụng"),OR(O122="Đạt",O122="Không áp dụng")),"Đạt","Đang test")))</x:f>
        <x:v>Chưa test</x:v>
      </x:c>
      <x:c r="R122" s="88" t="str">
        <x:v>Chưa phân loại</x:v>
      </x:c>
      <x:c r="S122" s="80" t="str"/>
      <x:c r="T122" s="80" t="str"/>
      <x:c r="U122" s="82"/>
      <x:c r="V122" s="80" t="str">
        <x:v>Mới</x:v>
      </x:c>
      <x:c r="W122" s="80" t="str"/>
      <x:c r="X122" s="80" t="str"/>
    </x:row>
    <x:row r="123">
      <x:c r="A123" s="86" t="n">
        <x:v>119</x:v>
      </x:c>
      <x:c r="B123" s="86" t="str">
        <x:v>V21</x:v>
      </x:c>
      <x:c r="C123" s="86" t="str">
        <x:v>Quản lý vùng/đội</x:v>
      </x:c>
      <x:c r="D123" s="77" t="str">
        <x:v>Khách im lặng 30/60/90 ngày là ai; lần mua gần nhất, giá trị và sản phẩm thường mua là gì?</x:v>
      </x:c>
      <x:c r="E123" s="87" t="str">
        <x:v>S69</x:v>
      </x:c>
      <x:c r="F123" s="87" t="str">
        <x:v>Đủ nguồn</x:v>
      </x:c>
      <x:c r="G123" s="77" t="str">
        <x:v>Đối chiếu số liệu, diễn giải và phân quyền</x:v>
      </x:c>
      <x:c r="H123" s="80" t="str"/>
      <x:c r="I123" s="81"/>
      <x:c r="J123" s="82" t="n">
        <x:v>46265</x:v>
      </x:c>
      <x:c r="K123" s="80" t="str">
        <x:v>Đối chiếu file kết quả theo câu V21, checker S69.</x:v>
      </x:c>
      <x:c r="L123" s="80" t="str"/>
      <x:c r="M123" s="88" t="str">
        <x:v>Chưa chấm</x:v>
      </x:c>
      <x:c r="N123" s="88" t="str">
        <x:v>Chưa chấm</x:v>
      </x:c>
      <x:c r="O123" s="88" t="str">
        <x:v>Chưa chấm</x:v>
      </x:c>
      <x:c r="P123" s="89"/>
      <x:c r="Q123" s="90" t="str">
        <x:f>IF(AND(M123="Chưa chấm",N123="Chưa chấm",O123="Chưa chấm"),"Chưa test",IF(OR(M123="Không đạt",N123="Không đạt",O123="Không đạt"),"Không đạt",IF(AND(OR(M123="Đạt",M123="Không áp dụng"),OR(N123="Đạt",N123="Không áp dụng"),OR(O123="Đạt",O123="Không áp dụng")),"Đạt","Đang test")))</x:f>
        <x:v>Chưa test</x:v>
      </x:c>
      <x:c r="R123" s="88" t="str">
        <x:v>Chưa phân loại</x:v>
      </x:c>
      <x:c r="S123" s="80" t="str"/>
      <x:c r="T123" s="80" t="str"/>
      <x:c r="U123" s="82"/>
      <x:c r="V123" s="80" t="str">
        <x:v>Mới</x:v>
      </x:c>
      <x:c r="W123" s="80" t="str"/>
      <x:c r="X123" s="80" t="str"/>
    </x:row>
    <x:row r="124">
      <x:c r="A124" s="86" t="n">
        <x:v>120</x:v>
      </x:c>
      <x:c r="B124" s="86" t="str">
        <x:v>V22</x:v>
      </x:c>
      <x:c r="C124" s="86" t="str">
        <x:v>Quản lý vùng/đội</x:v>
      </x:c>
      <x:c r="D124" s="77" t="str">
        <x:v>Khách mới tháng này là ai; đã có đơn lặp lại chưa và TDV nào phụ trách?</x:v>
      </x:c>
      <x:c r="E124" s="87" t="str">
        <x:v>S18</x:v>
      </x:c>
      <x:c r="F124" s="87" t="str">
        <x:v>Đủ nguồn</x:v>
      </x:c>
      <x:c r="G124" s="77" t="str">
        <x:v>Đối chiếu số liệu, diễn giải và phân quyền</x:v>
      </x:c>
      <x:c r="H124" s="80" t="str"/>
      <x:c r="I124" s="81"/>
      <x:c r="J124" s="82" t="n">
        <x:v>46265</x:v>
      </x:c>
      <x:c r="K124" s="80" t="str">
        <x:v>Đối chiếu file kết quả theo câu V22, checker S18.</x:v>
      </x:c>
      <x:c r="L124" s="80" t="str"/>
      <x:c r="M124" s="88" t="str">
        <x:v>Chưa chấm</x:v>
      </x:c>
      <x:c r="N124" s="88" t="str">
        <x:v>Chưa chấm</x:v>
      </x:c>
      <x:c r="O124" s="88" t="str">
        <x:v>Chưa chấm</x:v>
      </x:c>
      <x:c r="P124" s="89"/>
      <x:c r="Q124" s="90" t="str">
        <x:f>IF(AND(M124="Chưa chấm",N124="Chưa chấm",O124="Chưa chấm"),"Chưa test",IF(OR(M124="Không đạt",N124="Không đạt",O124="Không đạt"),"Không đạt",IF(AND(OR(M124="Đạt",M124="Không áp dụng"),OR(N124="Đạt",N124="Không áp dụng"),OR(O124="Đạt",O124="Không áp dụng")),"Đạt","Đang test")))</x:f>
        <x:v>Chưa test</x:v>
      </x:c>
      <x:c r="R124" s="88" t="str">
        <x:v>Chưa phân loại</x:v>
      </x:c>
      <x:c r="S124" s="80" t="str"/>
      <x:c r="T124" s="80" t="str"/>
      <x:c r="U124" s="82"/>
      <x:c r="V124" s="80" t="str">
        <x:v>Mới</x:v>
      </x:c>
      <x:c r="W124" s="80" t="str"/>
      <x:c r="X124" s="80" t="str"/>
    </x:row>
    <x:row r="125">
      <x:c r="A125" s="86" t="n">
        <x:v>121</x:v>
      </x:c>
      <x:c r="B125" s="86" t="str">
        <x:v>V23</x:v>
      </x:c>
      <x:c r="C125" s="86" t="str">
        <x:v>Quản lý vùng/đội</x:v>
      </x:c>
      <x:c r="D125" s="77" t="str">
        <x:v>Khách mua lại/tái kích hoạt là ai; doanh thu phục hồi so trước khi ngừng mua thế nào?</x:v>
      </x:c>
      <x:c r="E125" s="87" t="str">
        <x:v>S68</x:v>
      </x:c>
      <x:c r="F125" s="87" t="str">
        <x:v>Đủ nguồn</x:v>
      </x:c>
      <x:c r="G125" s="77" t="str">
        <x:v>Đối chiếu số liệu, diễn giải và phân quyền</x:v>
      </x:c>
      <x:c r="H125" s="80" t="str"/>
      <x:c r="I125" s="81"/>
      <x:c r="J125" s="82" t="n">
        <x:v>46265</x:v>
      </x:c>
      <x:c r="K125" s="80" t="str">
        <x:v>Đối chiếu file kết quả theo câu V23, checker S68.</x:v>
      </x:c>
      <x:c r="L125" s="80" t="str"/>
      <x:c r="M125" s="88" t="str">
        <x:v>Chưa chấm</x:v>
      </x:c>
      <x:c r="N125" s="88" t="str">
        <x:v>Chưa chấm</x:v>
      </x:c>
      <x:c r="O125" s="88" t="str">
        <x:v>Chưa chấm</x:v>
      </x:c>
      <x:c r="P125" s="89"/>
      <x:c r="Q125" s="90" t="str">
        <x:f>IF(AND(M125="Chưa chấm",N125="Chưa chấm",O125="Chưa chấm"),"Chưa test",IF(OR(M125="Không đạt",N125="Không đạt",O125="Không đạt"),"Không đạt",IF(AND(OR(M125="Đạt",M125="Không áp dụng"),OR(N125="Đạt",N125="Không áp dụng"),OR(O125="Đạt",O125="Không áp dụng")),"Đạt","Đang test")))</x:f>
        <x:v>Chưa test</x:v>
      </x:c>
      <x:c r="R125" s="88" t="str">
        <x:v>Chưa phân loại</x:v>
      </x:c>
      <x:c r="S125" s="80" t="str"/>
      <x:c r="T125" s="80" t="str"/>
      <x:c r="U125" s="82"/>
      <x:c r="V125" s="80" t="str">
        <x:v>Mới</x:v>
      </x:c>
      <x:c r="W125" s="80" t="str"/>
      <x:c r="X125" s="80" t="str"/>
    </x:row>
    <x:row r="126">
      <x:c r="A126" s="86" t="n">
        <x:v>122</x:v>
      </x:c>
      <x:c r="B126" s="86" t="str">
        <x:v>V24</x:v>
      </x:c>
      <x:c r="C126" s="86" t="str">
        <x:v>Quản lý vùng/đội</x:v>
      </x:c>
      <x:c r="D126" s="77" t="str">
        <x:v>Khách nào giảm tần suất mua, AOV hoặc số SKU/đơn so với 3 tháng trước?</x:v>
      </x:c>
      <x:c r="E126" s="87" t="str">
        <x:v>S62</x:v>
      </x:c>
      <x:c r="F126" s="87" t="str">
        <x:v>Đủ nguồn</x:v>
      </x:c>
      <x:c r="G126" s="77" t="str">
        <x:v>Đối chiếu số liệu, diễn giải và phân quyền</x:v>
      </x:c>
      <x:c r="H126" s="80" t="str"/>
      <x:c r="I126" s="81"/>
      <x:c r="J126" s="82" t="n">
        <x:v>46265</x:v>
      </x:c>
      <x:c r="K126" s="80" t="str">
        <x:v>Đối chiếu file kết quả theo câu V24, checker S62.</x:v>
      </x:c>
      <x:c r="L126" s="80" t="str"/>
      <x:c r="M126" s="88" t="str">
        <x:v>Chưa chấm</x:v>
      </x:c>
      <x:c r="N126" s="88" t="str">
        <x:v>Chưa chấm</x:v>
      </x:c>
      <x:c r="O126" s="88" t="str">
        <x:v>Chưa chấm</x:v>
      </x:c>
      <x:c r="P126" s="89"/>
      <x:c r="Q126" s="90" t="str">
        <x:f>IF(AND(M126="Chưa chấm",N126="Chưa chấm",O126="Chưa chấm"),"Chưa test",IF(OR(M126="Không đạt",N126="Không đạt",O126="Không đạt"),"Không đạt",IF(AND(OR(M126="Đạt",M126="Không áp dụng"),OR(N126="Đạt",N126="Không áp dụng"),OR(O126="Đạt",O126="Không áp dụng")),"Đạt","Đang test")))</x:f>
        <x:v>Chưa test</x:v>
      </x:c>
      <x:c r="R126" s="88" t="str">
        <x:v>Chưa phân loại</x:v>
      </x:c>
      <x:c r="S126" s="80" t="str"/>
      <x:c r="T126" s="80" t="str"/>
      <x:c r="U126" s="82"/>
      <x:c r="V126" s="80" t="str">
        <x:v>Mới</x:v>
      </x:c>
      <x:c r="W126" s="80" t="str"/>
      <x:c r="X126" s="80" t="str"/>
    </x:row>
    <x:row r="127">
      <x:c r="A127" s="86" t="n">
        <x:v>123</x:v>
      </x:c>
      <x:c r="B127" s="86" t="str">
        <x:v>V25</x:v>
      </x:c>
      <x:c r="C127" s="86" t="str">
        <x:v>Quản lý vùng/đội</x:v>
      </x:c>
      <x:c r="D127" s="77" t="str">
        <x:v>Khách nào chỉ mua một nhóm sản phẩm và có cơ hội bán chéo rõ nhất?</x:v>
      </x:c>
      <x:c r="E127" s="87" t="str">
        <x:v>S41</x:v>
      </x:c>
      <x:c r="F127" s="87" t="str">
        <x:v>Cần DNH chốt công thức</x:v>
      </x:c>
      <x:c r="G127" s="77" t="str">
        <x:v>Kiểm cách trình bày; chưa dùng làm chuẩn số trước khi DNH chốt</x:v>
      </x:c>
      <x:c r="H127" s="80" t="str"/>
      <x:c r="I127" s="81"/>
      <x:c r="J127" s="82" t="n">
        <x:v>46265</x:v>
      </x:c>
      <x:c r="K127" s="80" t="str">
        <x:v>Đối chiếu file kết quả theo câu V25, checker S41.</x:v>
      </x:c>
      <x:c r="L127" s="80" t="str"/>
      <x:c r="M127" s="88" t="str">
        <x:v>Chưa chấm</x:v>
      </x:c>
      <x:c r="N127" s="88" t="str">
        <x:v>Chưa chấm</x:v>
      </x:c>
      <x:c r="O127" s="88" t="str">
        <x:v>Chưa chấm</x:v>
      </x:c>
      <x:c r="P127" s="89"/>
      <x:c r="Q127" s="90" t="str">
        <x:f>IF(AND(M127="Chưa chấm",N127="Chưa chấm",O127="Chưa chấm"),"Chưa test",IF(OR(M127="Không đạt",N127="Không đạt",O127="Không đạt"),"Không đạt",IF(AND(OR(M127="Đạt",M127="Không áp dụng"),OR(N127="Đạt",N127="Không áp dụng"),OR(O127="Đạt",O127="Không áp dụng")),"Đạt","Đang test")))</x:f>
        <x:v>Chưa test</x:v>
      </x:c>
      <x:c r="R127" s="88" t="str">
        <x:v>Chưa phân loại</x:v>
      </x:c>
      <x:c r="S127" s="80" t="str"/>
      <x:c r="T127" s="80" t="str"/>
      <x:c r="U127" s="82"/>
      <x:c r="V127" s="80" t="str">
        <x:v>Mới</x:v>
      </x:c>
      <x:c r="W127" s="80" t="str"/>
      <x:c r="X127" s="80" t="str"/>
    </x:row>
    <x:row r="128">
      <x:c r="A128" s="86" t="n">
        <x:v>124</x:v>
      </x:c>
      <x:c r="B128" s="86" t="str">
        <x:v>V26</x:v>
      </x:c>
      <x:c r="C128" s="86" t="str">
        <x:v>Quản lý vùng/đội</x:v>
      </x:c>
      <x:c r="D128" s="77" t="str">
        <x:v>Khách nào mua ít hơn các khách tương đồng cùng tỉnh/phân khúc?</x:v>
      </x:c>
      <x:c r="E128" s="87" t="str">
        <x:v>S63</x:v>
      </x:c>
      <x:c r="F128" s="87" t="str">
        <x:v>Đủ nguồn</x:v>
      </x:c>
      <x:c r="G128" s="77" t="str">
        <x:v>Đối chiếu số liệu, diễn giải và phân quyền</x:v>
      </x:c>
      <x:c r="H128" s="80" t="str"/>
      <x:c r="I128" s="81"/>
      <x:c r="J128" s="82" t="n">
        <x:v>46265</x:v>
      </x:c>
      <x:c r="K128" s="80" t="str">
        <x:v>Đối chiếu file kết quả theo câu V26, checker S63.</x:v>
      </x:c>
      <x:c r="L128" s="80" t="str"/>
      <x:c r="M128" s="88" t="str">
        <x:v>Chưa chấm</x:v>
      </x:c>
      <x:c r="N128" s="88" t="str">
        <x:v>Chưa chấm</x:v>
      </x:c>
      <x:c r="O128" s="88" t="str">
        <x:v>Chưa chấm</x:v>
      </x:c>
      <x:c r="P128" s="89"/>
      <x:c r="Q128" s="90" t="str">
        <x:f>IF(AND(M128="Chưa chấm",N128="Chưa chấm",O128="Chưa chấm"),"Chưa test",IF(OR(M128="Không đạt",N128="Không đạt",O128="Không đạt"),"Không đạt",IF(AND(OR(M128="Đạt",M128="Không áp dụng"),OR(N128="Đạt",N128="Không áp dụng"),OR(O128="Đạt",O128="Không áp dụng")),"Đạt","Đang test")))</x:f>
        <x:v>Chưa test</x:v>
      </x:c>
      <x:c r="R128" s="88" t="str">
        <x:v>Chưa phân loại</x:v>
      </x:c>
      <x:c r="S128" s="80" t="str"/>
      <x:c r="T128" s="80" t="str"/>
      <x:c r="U128" s="82"/>
      <x:c r="V128" s="80" t="str">
        <x:v>Mới</x:v>
      </x:c>
      <x:c r="W128" s="80" t="str"/>
      <x:c r="X128" s="80" t="str"/>
    </x:row>
    <x:row r="129">
      <x:c r="A129" s="86" t="n">
        <x:v>125</x:v>
      </x:c>
      <x:c r="B129" s="86" t="str">
        <x:v>V27</x:v>
      </x:c>
      <x:c r="C129" s="86" t="str">
        <x:v>Quản lý vùng/đội</x:v>
      </x:c>
      <x:c r="D129" s="77" t="str">
        <x:v>Khách nào chưa gán TDV, sai mã, sai tỉnh/vùng hoặc không có tên trong DMS?</x:v>
      </x:c>
      <x:c r="E129" s="87" t="str">
        <x:v>S75</x:v>
      </x:c>
      <x:c r="F129" s="87" t="str">
        <x:v>Đủ nguồn</x:v>
      </x:c>
      <x:c r="G129" s="77" t="str">
        <x:v>Đối chiếu số liệu, diễn giải và phân quyền</x:v>
      </x:c>
      <x:c r="H129" s="80" t="str"/>
      <x:c r="I129" s="81"/>
      <x:c r="J129" s="82" t="n">
        <x:v>46265</x:v>
      </x:c>
      <x:c r="K129" s="80" t="str">
        <x:v>Đối chiếu file kết quả theo câu V27, checker S75.</x:v>
      </x:c>
      <x:c r="L129" s="80" t="str"/>
      <x:c r="M129" s="88" t="str">
        <x:v>Chưa chấm</x:v>
      </x:c>
      <x:c r="N129" s="88" t="str">
        <x:v>Chưa chấm</x:v>
      </x:c>
      <x:c r="O129" s="88" t="str">
        <x:v>Chưa chấm</x:v>
      </x:c>
      <x:c r="P129" s="89"/>
      <x:c r="Q129" s="90" t="str">
        <x:f>IF(AND(M129="Chưa chấm",N129="Chưa chấm",O129="Chưa chấm"),"Chưa test",IF(OR(M129="Không đạt",N129="Không đạt",O129="Không đạt"),"Không đạt",IF(AND(OR(M129="Đạt",M129="Không áp dụng"),OR(N129="Đạt",N129="Không áp dụng"),OR(O129="Đạt",O129="Không áp dụng")),"Đạt","Đang test")))</x:f>
        <x:v>Chưa test</x:v>
      </x:c>
      <x:c r="R129" s="88" t="str">
        <x:v>Chưa phân loại</x:v>
      </x:c>
      <x:c r="S129" s="80" t="str"/>
      <x:c r="T129" s="80" t="str"/>
      <x:c r="U129" s="82"/>
      <x:c r="V129" s="80" t="str">
        <x:v>Mới</x:v>
      </x:c>
      <x:c r="W129" s="80" t="str"/>
      <x:c r="X129" s="80" t="str"/>
    </x:row>
    <x:row r="130">
      <x:c r="A130" s="86" t="n">
        <x:v>126</x:v>
      </x:c>
      <x:c r="B130" s="86" t="str">
        <x:v>V28</x:v>
      </x:c>
      <x:c r="C130" s="86" t="str">
        <x:v>Quản lý vùng/đội</x:v>
      </x:c>
      <x:c r="D130" s="77" t="str">
        <x:v>Danh sách khách ưu tiên tuần này theo bốn mục tiêu: giữ khách lớn, tái kích hoạt, thu nợ và bán chéo?</x:v>
      </x:c>
      <x:c r="E130" s="87" t="str">
        <x:v>S83</x:v>
      </x:c>
      <x:c r="F130" s="87" t="str">
        <x:v>Thiếu một phần dữ liệu</x:v>
      </x:c>
      <x:c r="G130" s="77" t="str">
        <x:v>Kiểm phần có dữ liệu; phần thiếu phải được thông báo rõ</x:v>
      </x:c>
      <x:c r="H130" s="80" t="str"/>
      <x:c r="I130" s="81"/>
      <x:c r="J130" s="82" t="n">
        <x:v>46265</x:v>
      </x:c>
      <x:c r="K130" s="80" t="str">
        <x:v>Đối chiếu file kết quả theo câu V28, checker S83.</x:v>
      </x:c>
      <x:c r="L130" s="80" t="str"/>
      <x:c r="M130" s="88" t="str">
        <x:v>Chưa chấm</x:v>
      </x:c>
      <x:c r="N130" s="88" t="str">
        <x:v>Chưa chấm</x:v>
      </x:c>
      <x:c r="O130" s="88" t="str">
        <x:v>Chưa chấm</x:v>
      </x:c>
      <x:c r="P130" s="89"/>
      <x:c r="Q130" s="90" t="str">
        <x:f>IF(AND(M130="Chưa chấm",N130="Chưa chấm",O130="Chưa chấm"),"Chưa test",IF(OR(M130="Không đạt",N130="Không đạt",O130="Không đạt"),"Không đạt",IF(AND(OR(M130="Đạt",M130="Không áp dụng"),OR(N130="Đạt",N130="Không áp dụng"),OR(O130="Đạt",O130="Không áp dụng")),"Đạt","Đang test")))</x:f>
        <x:v>Chưa test</x:v>
      </x:c>
      <x:c r="R130" s="88" t="str">
        <x:v>Chưa phân loại</x:v>
      </x:c>
      <x:c r="S130" s="80" t="str"/>
      <x:c r="T130" s="80" t="str"/>
      <x:c r="U130" s="82"/>
      <x:c r="V130" s="80" t="str">
        <x:v>Mới</x:v>
      </x:c>
      <x:c r="W130" s="80" t="str"/>
      <x:c r="X130" s="80" t="str"/>
    </x:row>
    <x:row r="131">
      <x:c r="A131" s="86" t="n">
        <x:v>127</x:v>
      </x:c>
      <x:c r="B131" s="86" t="str">
        <x:v>V29</x:v>
      </x:c>
      <x:c r="C131" s="86" t="str">
        <x:v>Quản lý vùng/đội</x:v>
      </x:c>
      <x:c r="D131" s="77" t="str">
        <x:v>Top/bottom sản phẩm từng tháng của đội; SKU nào làm tăng/giảm doanh số nhiều nhất?</x:v>
      </x:c>
      <x:c r="E131" s="87" t="str">
        <x:v>S21</x:v>
      </x:c>
      <x:c r="F131" s="87" t="str">
        <x:v>Đủ nguồn</x:v>
      </x:c>
      <x:c r="G131" s="77" t="str">
        <x:v>Đối chiếu số liệu, diễn giải và phân quyền</x:v>
      </x:c>
      <x:c r="H131" s="80" t="str"/>
      <x:c r="I131" s="81"/>
      <x:c r="J131" s="82" t="n">
        <x:v>46265</x:v>
      </x:c>
      <x:c r="K131" s="80" t="str">
        <x:v>Đối chiếu file kết quả theo câu V29, checker S21.</x:v>
      </x:c>
      <x:c r="L131" s="80" t="str"/>
      <x:c r="M131" s="88" t="str">
        <x:v>Chưa chấm</x:v>
      </x:c>
      <x:c r="N131" s="88" t="str">
        <x:v>Chưa chấm</x:v>
      </x:c>
      <x:c r="O131" s="88" t="str">
        <x:v>Chưa chấm</x:v>
      </x:c>
      <x:c r="P131" s="89"/>
      <x:c r="Q131" s="90" t="str">
        <x:f>IF(AND(M131="Chưa chấm",N131="Chưa chấm",O131="Chưa chấm"),"Chưa test",IF(OR(M131="Không đạt",N131="Không đạt",O131="Không đạt"),"Không đạt",IF(AND(OR(M131="Đạt",M131="Không áp dụng"),OR(N131="Đạt",N131="Không áp dụng"),OR(O131="Đạt",O131="Không áp dụng")),"Đạt","Đang test")))</x:f>
        <x:v>Chưa test</x:v>
      </x:c>
      <x:c r="R131" s="88" t="str">
        <x:v>Chưa phân loại</x:v>
      </x:c>
      <x:c r="S131" s="80" t="str"/>
      <x:c r="T131" s="80" t="str"/>
      <x:c r="U131" s="82"/>
      <x:c r="V131" s="80" t="str">
        <x:v>Mới</x:v>
      </x:c>
      <x:c r="W131" s="80" t="str"/>
      <x:c r="X131" s="80" t="str"/>
    </x:row>
    <x:row r="132">
      <x:c r="A132" s="86" t="n">
        <x:v>128</x:v>
      </x:c>
      <x:c r="B132" s="86" t="str">
        <x:v>V30</x:v>
      </x:c>
      <x:c r="C132" s="86" t="str">
        <x:v>Quản lý vùng/đội</x:v>
      </x:c>
      <x:c r="D132" s="77" t="str">
        <x:v>SKU trọng tâm đạt bao nhiêu % target theo từng TDV và khách hàng; khoảng thiếu bao nhiêu?</x:v>
      </x:c>
      <x:c r="E132" s="87" t="str">
        <x:v>S46</x:v>
      </x:c>
      <x:c r="F132" s="87" t="str">
        <x:v>Thiếu một phần dữ liệu</x:v>
      </x:c>
      <x:c r="G132" s="77" t="str">
        <x:v>Kiểm phần có dữ liệu; phần thiếu phải được thông báo rõ</x:v>
      </x:c>
      <x:c r="H132" s="80" t="str"/>
      <x:c r="I132" s="81"/>
      <x:c r="J132" s="82" t="n">
        <x:v>46265</x:v>
      </x:c>
      <x:c r="K132" s="80" t="str">
        <x:v>Đối chiếu file kết quả theo câu V30, checker S46.</x:v>
      </x:c>
      <x:c r="L132" s="80" t="str"/>
      <x:c r="M132" s="88" t="str">
        <x:v>Chưa chấm</x:v>
      </x:c>
      <x:c r="N132" s="88" t="str">
        <x:v>Chưa chấm</x:v>
      </x:c>
      <x:c r="O132" s="88" t="str">
        <x:v>Chưa chấm</x:v>
      </x:c>
      <x:c r="P132" s="89"/>
      <x:c r="Q132" s="90" t="str">
        <x:f>IF(AND(M132="Chưa chấm",N132="Chưa chấm",O132="Chưa chấm"),"Chưa test",IF(OR(M132="Không đạt",N132="Không đạt",O132="Không đạt"),"Không đạt",IF(AND(OR(M132="Đạt",M132="Không áp dụng"),OR(N132="Đạt",N132="Không áp dụng"),OR(O132="Đạt",O132="Không áp dụng")),"Đạt","Đang test")))</x:f>
        <x:v>Chưa test</x:v>
      </x:c>
      <x:c r="R132" s="88" t="str">
        <x:v>Chưa phân loại</x:v>
      </x:c>
      <x:c r="S132" s="80" t="str"/>
      <x:c r="T132" s="80" t="str"/>
      <x:c r="U132" s="82"/>
      <x:c r="V132" s="80" t="str">
        <x:v>Mới</x:v>
      </x:c>
      <x:c r="W132" s="80" t="str"/>
      <x:c r="X132" s="80" t="str"/>
    </x:row>
    <x:row r="133">
      <x:c r="A133" s="86" t="n">
        <x:v>129</x:v>
      </x:c>
      <x:c r="B133" s="86" t="str">
        <x:v>V31</x:v>
      </x:c>
      <x:c r="C133" s="86" t="str">
        <x:v>Quản lý vùng/đội</x:v>
      </x:c>
      <x:c r="D133" s="77" t="str">
        <x:v>Sản phẩm nào nhiều khách mua nhưng lượng/đơn thấp; sản phẩm nào ít khách nhưng AOV cao?</x:v>
      </x:c>
      <x:c r="E133" s="87" t="str">
        <x:v>S23</x:v>
      </x:c>
      <x:c r="F133" s="87" t="str">
        <x:v>Cần DNH chốt công thức</x:v>
      </x:c>
      <x:c r="G133" s="77" t="str">
        <x:v>Kiểm cách trình bày; chưa dùng làm chuẩn số trước khi DNH chốt</x:v>
      </x:c>
      <x:c r="H133" s="80" t="str"/>
      <x:c r="I133" s="81"/>
      <x:c r="J133" s="82" t="n">
        <x:v>46265</x:v>
      </x:c>
      <x:c r="K133" s="80" t="str">
        <x:v>Đối chiếu file kết quả theo câu V31, checker S23.</x:v>
      </x:c>
      <x:c r="L133" s="80" t="str"/>
      <x:c r="M133" s="88" t="str">
        <x:v>Chưa chấm</x:v>
      </x:c>
      <x:c r="N133" s="88" t="str">
        <x:v>Chưa chấm</x:v>
      </x:c>
      <x:c r="O133" s="88" t="str">
        <x:v>Chưa chấm</x:v>
      </x:c>
      <x:c r="P133" s="89"/>
      <x:c r="Q133" s="90" t="str">
        <x:f>IF(AND(M133="Chưa chấm",N133="Chưa chấm",O133="Chưa chấm"),"Chưa test",IF(OR(M133="Không đạt",N133="Không đạt",O133="Không đạt"),"Không đạt",IF(AND(OR(M133="Đạt",M133="Không áp dụng"),OR(N133="Đạt",N133="Không áp dụng"),OR(O133="Đạt",O133="Không áp dụng")),"Đạt","Đang test")))</x:f>
        <x:v>Chưa test</x:v>
      </x:c>
      <x:c r="R133" s="88" t="str">
        <x:v>Chưa phân loại</x:v>
      </x:c>
      <x:c r="S133" s="80" t="str"/>
      <x:c r="T133" s="80" t="str"/>
      <x:c r="U133" s="82"/>
      <x:c r="V133" s="80" t="str">
        <x:v>Mới</x:v>
      </x:c>
      <x:c r="W133" s="80" t="str"/>
      <x:c r="X133" s="80" t="str"/>
    </x:row>
    <x:row r="134">
      <x:c r="A134" s="86" t="n">
        <x:v>130</x:v>
      </x:c>
      <x:c r="B134" s="86" t="str">
        <x:v>V32</x:v>
      </x:c>
      <x:c r="C134" s="86" t="str">
        <x:v>Quản lý vùng/đội</x:v>
      </x:c>
      <x:c r="D134" s="77" t="str">
        <x:v>Cặp sản phẩm nào thường mua cùng; khách nào phù hợp bán combo nhưng chưa mua?</x:v>
      </x:c>
      <x:c r="E134" s="87" t="str">
        <x:v>S74</x:v>
      </x:c>
      <x:c r="F134" s="87" t="str">
        <x:v>Cần DNH chốt công thức</x:v>
      </x:c>
      <x:c r="G134" s="77" t="str">
        <x:v>Kiểm cách trình bày; chưa dùng làm chuẩn số trước khi DNH chốt</x:v>
      </x:c>
      <x:c r="H134" s="80" t="str"/>
      <x:c r="I134" s="81"/>
      <x:c r="J134" s="82" t="n">
        <x:v>46265</x:v>
      </x:c>
      <x:c r="K134" s="80" t="str">
        <x:v>Đối chiếu file kết quả theo câu V32, checker S74.</x:v>
      </x:c>
      <x:c r="L134" s="80" t="str"/>
      <x:c r="M134" s="88" t="str">
        <x:v>Chưa chấm</x:v>
      </x:c>
      <x:c r="N134" s="88" t="str">
        <x:v>Chưa chấm</x:v>
      </x:c>
      <x:c r="O134" s="88" t="str">
        <x:v>Chưa chấm</x:v>
      </x:c>
      <x:c r="P134" s="89"/>
      <x:c r="Q134" s="90" t="str">
        <x:f>IF(AND(M134="Chưa chấm",N134="Chưa chấm",O134="Chưa chấm"),"Chưa test",IF(OR(M134="Không đạt",N134="Không đạt",O134="Không đạt"),"Không đạt",IF(AND(OR(M134="Đạt",M134="Không áp dụng"),OR(N134="Đạt",N134="Không áp dụng"),OR(O134="Đạt",O134="Không áp dụng")),"Đạt","Đang test")))</x:f>
        <x:v>Chưa test</x:v>
      </x:c>
      <x:c r="R134" s="88" t="str">
        <x:v>Chưa phân loại</x:v>
      </x:c>
      <x:c r="S134" s="80" t="str"/>
      <x:c r="T134" s="80" t="str"/>
      <x:c r="U134" s="82"/>
      <x:c r="V134" s="80" t="str">
        <x:v>Mới</x:v>
      </x:c>
      <x:c r="W134" s="80" t="str"/>
      <x:c r="X134" s="80" t="str"/>
    </x:row>
    <x:row r="135">
      <x:c r="A135" s="86" t="n">
        <x:v>131</x:v>
      </x:c>
      <x:c r="B135" s="86" t="str">
        <x:v>V33</x:v>
      </x:c>
      <x:c r="C135" s="86" t="str">
        <x:v>Quản lý vùng/đội</x:v>
      </x:c>
      <x:c r="D135" s="77" t="str">
        <x:v>Đơn nào bị hủy, trả, điều chỉnh, giao/hóa đơn chậm hoặc chưa tìm thấy hóa đơn?</x:v>
      </x:c>
      <x:c r="E135" s="87" t="str">
        <x:v>S42</x:v>
      </x:c>
      <x:c r="F135" s="87" t="str">
        <x:v>Đủ nguồn</x:v>
      </x:c>
      <x:c r="G135" s="77" t="str">
        <x:v>Đối chiếu số liệu, diễn giải và phân quyền</x:v>
      </x:c>
      <x:c r="H135" s="80" t="str"/>
      <x:c r="I135" s="81"/>
      <x:c r="J135" s="82" t="n">
        <x:v>46265</x:v>
      </x:c>
      <x:c r="K135" s="80" t="str">
        <x:v>Đối chiếu file kết quả theo câu V33, checker S42.</x:v>
      </x:c>
      <x:c r="L135" s="80" t="str"/>
      <x:c r="M135" s="88" t="str">
        <x:v>Chưa chấm</x:v>
      </x:c>
      <x:c r="N135" s="88" t="str">
        <x:v>Chưa chấm</x:v>
      </x:c>
      <x:c r="O135" s="88" t="str">
        <x:v>Chưa chấm</x:v>
      </x:c>
      <x:c r="P135" s="89"/>
      <x:c r="Q135" s="90" t="str">
        <x:f>IF(AND(M135="Chưa chấm",N135="Chưa chấm",O135="Chưa chấm"),"Chưa test",IF(OR(M135="Không đạt",N135="Không đạt",O135="Không đạt"),"Không đạt",IF(AND(OR(M135="Đạt",M135="Không áp dụng"),OR(N135="Đạt",N135="Không áp dụng"),OR(O135="Đạt",O135="Không áp dụng")),"Đạt","Đang test")))</x:f>
        <x:v>Chưa test</x:v>
      </x:c>
      <x:c r="R135" s="88" t="str">
        <x:v>Chưa phân loại</x:v>
      </x:c>
      <x:c r="S135" s="80" t="str"/>
      <x:c r="T135" s="80" t="str"/>
      <x:c r="U135" s="82"/>
      <x:c r="V135" s="80" t="str">
        <x:v>Mới</x:v>
      </x:c>
      <x:c r="W135" s="80" t="str"/>
      <x:c r="X135" s="80" t="str"/>
    </x:row>
    <x:row r="136">
      <x:c r="A136" s="86" t="n">
        <x:v>132</x:v>
      </x:c>
      <x:c r="B136" s="86" t="str">
        <x:v>V34</x:v>
      </x:c>
      <x:c r="C136" s="86" t="str">
        <x:v>Quản lý vùng/đội</x:v>
      </x:c>
      <x:c r="D136" s="77" t="str">
        <x:v>Chương trình khuyến mãi nào đội đang dùng; khách tham gia, số đơn và doanh thu trước–trong–sau chương trình thế nào?</x:v>
      </x:c>
      <x:c r="E136" s="87" t="str">
        <x:v>S12</x:v>
      </x:c>
      <x:c r="F136" s="87" t="str">
        <x:v>Thiếu một phần dữ liệu</x:v>
      </x:c>
      <x:c r="G136" s="77" t="str">
        <x:v>Kiểm phần có dữ liệu; phần thiếu phải được thông báo rõ</x:v>
      </x:c>
      <x:c r="H136" s="80" t="str"/>
      <x:c r="I136" s="81"/>
      <x:c r="J136" s="82" t="n">
        <x:v>46265</x:v>
      </x:c>
      <x:c r="K136" s="80" t="str">
        <x:v>Đối chiếu file kết quả theo câu V34, checker S12.</x:v>
      </x:c>
      <x:c r="L136" s="80" t="str"/>
      <x:c r="M136" s="88" t="str">
        <x:v>Chưa chấm</x:v>
      </x:c>
      <x:c r="N136" s="88" t="str">
        <x:v>Chưa chấm</x:v>
      </x:c>
      <x:c r="O136" s="88" t="str">
        <x:v>Chưa chấm</x:v>
      </x:c>
      <x:c r="P136" s="89"/>
      <x:c r="Q136" s="90" t="str">
        <x:f>IF(AND(M136="Chưa chấm",N136="Chưa chấm",O136="Chưa chấm"),"Chưa test",IF(OR(M136="Không đạt",N136="Không đạt",O136="Không đạt"),"Không đạt",IF(AND(OR(M136="Đạt",M136="Không áp dụng"),OR(N136="Đạt",N136="Không áp dụng"),OR(O136="Đạt",O136="Không áp dụng")),"Đạt","Đang test")))</x:f>
        <x:v>Chưa test</x:v>
      </x:c>
      <x:c r="R136" s="88" t="str">
        <x:v>Chưa phân loại</x:v>
      </x:c>
      <x:c r="S136" s="80" t="str"/>
      <x:c r="T136" s="80" t="str"/>
      <x:c r="U136" s="82"/>
      <x:c r="V136" s="80" t="str">
        <x:v>Mới</x:v>
      </x:c>
      <x:c r="W136" s="80" t="str"/>
      <x:c r="X136" s="80" t="str"/>
    </x:row>
    <x:row r="137">
      <x:c r="A137" s="86" t="n">
        <x:v>133</x:v>
      </x:c>
      <x:c r="B137" s="86" t="str">
        <x:v>V35</x:v>
      </x:c>
      <x:c r="C137" s="86" t="str">
        <x:v>Quản lý vùng/đội</x:v>
      </x:c>
      <x:c r="D137" s="77" t="str">
        <x:v>Tổng nợ và nợ quá hạn của đội theo tháng; khách nào mới chuyển sang nhóm tuổi nợ xấu hơn?</x:v>
      </x:c>
      <x:c r="E137" s="87" t="str">
        <x:v>S25</x:v>
      </x:c>
      <x:c r="F137" s="87" t="str">
        <x:v>Chưa đủ lịch sử</x:v>
      </x:c>
      <x:c r="G137" s="77" t="str">
        <x:v>Kỳ vọng chatbot báo chưa đủ lịch sử, không suy đoán</x:v>
      </x:c>
      <x:c r="H137" s="80" t="str"/>
      <x:c r="I137" s="81"/>
      <x:c r="J137" s="82" t="n">
        <x:v>46265</x:v>
      </x:c>
      <x:c r="K137" s="80" t="str">
        <x:v>Chatbot phải báo rõ chưa đủ dữ liệu/lịch sử; không tự tạo số.</x:v>
      </x:c>
      <x:c r="L137" s="80" t="str"/>
      <x:c r="M137" s="88" t="str">
        <x:v>Chưa chấm</x:v>
      </x:c>
      <x:c r="N137" s="88" t="str">
        <x:v>Chưa chấm</x:v>
      </x:c>
      <x:c r="O137" s="88" t="str">
        <x:v>Chưa chấm</x:v>
      </x:c>
      <x:c r="P137" s="89"/>
      <x:c r="Q137" s="90" t="str">
        <x:f>IF(AND(M137="Chưa chấm",N137="Chưa chấm",O137="Chưa chấm"),"Chưa test",IF(OR(M137="Không đạt",N137="Không đạt",O137="Không đạt"),"Không đạt",IF(AND(OR(M137="Đạt",M137="Không áp dụng"),OR(N137="Đạt",N137="Không áp dụng"),OR(O137="Đạt",O137="Không áp dụng")),"Đạt","Đang test")))</x:f>
        <x:v>Chưa test</x:v>
      </x:c>
      <x:c r="R137" s="88" t="str">
        <x:v>Chưa phân loại</x:v>
      </x:c>
      <x:c r="S137" s="80" t="str"/>
      <x:c r="T137" s="80" t="str"/>
      <x:c r="U137" s="82"/>
      <x:c r="V137" s="80" t="str">
        <x:v>Mới</x:v>
      </x:c>
      <x:c r="W137" s="80" t="str"/>
      <x:c r="X137" s="80" t="str"/>
    </x:row>
    <x:row r="138">
      <x:c r="A138" s="86" t="n">
        <x:v>134</x:v>
      </x:c>
      <x:c r="B138" s="86" t="str">
        <x:v>V36</x:v>
      </x:c>
      <x:c r="C138" s="86" t="str">
        <x:v>Quản lý vùng/đội</x:v>
      </x:c>
      <x:c r="D138" s="77" t="str">
        <x:v>Khách nào vừa nợ quá hạn vừa giảm mua; TDV phụ trách và số tiền cần thu là bao nhiêu?</x:v>
      </x:c>
      <x:c r="E138" s="87" t="str">
        <x:v>S26</x:v>
      </x:c>
      <x:c r="F138" s="87" t="str">
        <x:v>Thiếu một phần dữ liệu</x:v>
      </x:c>
      <x:c r="G138" s="77" t="str">
        <x:v>Kiểm phần có dữ liệu; phần thiếu phải được thông báo rõ</x:v>
      </x:c>
      <x:c r="H138" s="80" t="str"/>
      <x:c r="I138" s="81"/>
      <x:c r="J138" s="82" t="n">
        <x:v>46265</x:v>
      </x:c>
      <x:c r="K138" s="80" t="str">
        <x:v>Đối chiếu file kết quả theo câu V36, checker S26.</x:v>
      </x:c>
      <x:c r="L138" s="80" t="str"/>
      <x:c r="M138" s="88" t="str">
        <x:v>Chưa chấm</x:v>
      </x:c>
      <x:c r="N138" s="88" t="str">
        <x:v>Chưa chấm</x:v>
      </x:c>
      <x:c r="O138" s="88" t="str">
        <x:v>Chưa chấm</x:v>
      </x:c>
      <x:c r="P138" s="89"/>
      <x:c r="Q138" s="90" t="str">
        <x:f>IF(AND(M138="Chưa chấm",N138="Chưa chấm",O138="Chưa chấm"),"Chưa test",IF(OR(M138="Không đạt",N138="Không đạt",O138="Không đạt"),"Không đạt",IF(AND(OR(M138="Đạt",M138="Không áp dụng"),OR(N138="Đạt",N138="Không áp dụng"),OR(O138="Đạt",O138="Không áp dụng")),"Đạt","Đang test")))</x:f>
        <x:v>Chưa test</x:v>
      </x:c>
      <x:c r="R138" s="88" t="str">
        <x:v>Chưa phân loại</x:v>
      </x:c>
      <x:c r="S138" s="80" t="str"/>
      <x:c r="T138" s="80" t="str"/>
      <x:c r="U138" s="82"/>
      <x:c r="V138" s="80" t="str">
        <x:v>Mới</x:v>
      </x:c>
      <x:c r="W138" s="80" t="str"/>
      <x:c r="X138" s="80" t="str"/>
    </x:row>
    <x:row r="139">
      <x:c r="A139" s="86" t="n">
        <x:v>135</x:v>
      </x:c>
      <x:c r="B139" s="86" t="str">
        <x:v>V37</x:v>
      </x:c>
      <x:c r="C139" s="86" t="str">
        <x:v>Quản lý vùng/đội</x:v>
      </x:c>
      <x:c r="D139" s="77" t="str">
        <x:v>Thu tiền tháng này của từng TDV/khách so kế hoạch; cam kết thu nào đã quá hạn?</x:v>
      </x:c>
      <x:c r="E139" s="87" t="str">
        <x:v>S45</x:v>
      </x:c>
      <x:c r="F139" s="87" t="str">
        <x:v>Chưa đủ lịch sử</x:v>
      </x:c>
      <x:c r="G139" s="77" t="str">
        <x:v>Kỳ vọng chatbot báo chưa đủ lịch sử, không suy đoán</x:v>
      </x:c>
      <x:c r="H139" s="80" t="str"/>
      <x:c r="I139" s="81"/>
      <x:c r="J139" s="82" t="n">
        <x:v>46265</x:v>
      </x:c>
      <x:c r="K139" s="80" t="str">
        <x:v>Chatbot phải báo rõ chưa đủ dữ liệu/lịch sử; không tự tạo số.</x:v>
      </x:c>
      <x:c r="L139" s="80" t="str"/>
      <x:c r="M139" s="88" t="str">
        <x:v>Chưa chấm</x:v>
      </x:c>
      <x:c r="N139" s="88" t="str">
        <x:v>Chưa chấm</x:v>
      </x:c>
      <x:c r="O139" s="88" t="str">
        <x:v>Chưa chấm</x:v>
      </x:c>
      <x:c r="P139" s="89"/>
      <x:c r="Q139" s="90" t="str">
        <x:f>IF(AND(M139="Chưa chấm",N139="Chưa chấm",O139="Chưa chấm"),"Chưa test",IF(OR(M139="Không đạt",N139="Không đạt",O139="Không đạt"),"Không đạt",IF(AND(OR(M139="Đạt",M139="Không áp dụng"),OR(N139="Đạt",N139="Không áp dụng"),OR(O139="Đạt",O139="Không áp dụng")),"Đạt","Đang test")))</x:f>
        <x:v>Chưa test</x:v>
      </x:c>
      <x:c r="R139" s="88" t="str">
        <x:v>Chưa phân loại</x:v>
      </x:c>
      <x:c r="S139" s="80" t="str"/>
      <x:c r="T139" s="80" t="str"/>
      <x:c r="U139" s="82"/>
      <x:c r="V139" s="80" t="str">
        <x:v>Mới</x:v>
      </x:c>
      <x:c r="W139" s="80" t="str"/>
      <x:c r="X139" s="80" t="str"/>
    </x:row>
    <x:row r="140">
      <x:c r="A140" s="86" t="n">
        <x:v>136</x:v>
      </x:c>
      <x:c r="B140" s="86" t="str">
        <x:v>V38</x:v>
      </x:c>
      <x:c r="C140" s="86" t="str">
        <x:v>Quản lý vùng/đội</x:v>
      </x:c>
      <x:c r="D140" s="77" t="str">
        <x:v>SKU khách đang cần nhưng kho thiếu là gì; đơn/doanh thu nào có nguy cơ mất vì thiếu hàng?</x:v>
      </x:c>
      <x:c r="E140" s="87" t="str">
        <x:v>S47</x:v>
      </x:c>
      <x:c r="F140" s="87" t="str">
        <x:v>Cần DNH chốt công thức</x:v>
      </x:c>
      <x:c r="G140" s="77" t="str">
        <x:v>Kiểm cách trình bày; chưa dùng làm chuẩn số trước khi DNH chốt</x:v>
      </x:c>
      <x:c r="H140" s="80" t="str"/>
      <x:c r="I140" s="81"/>
      <x:c r="J140" s="82" t="n">
        <x:v>46265</x:v>
      </x:c>
      <x:c r="K140" s="80" t="str">
        <x:v>Đối chiếu file kết quả theo câu V38, checker S47.</x:v>
      </x:c>
      <x:c r="L140" s="80" t="str"/>
      <x:c r="M140" s="88" t="str">
        <x:v>Chưa chấm</x:v>
      </x:c>
      <x:c r="N140" s="88" t="str">
        <x:v>Chưa chấm</x:v>
      </x:c>
      <x:c r="O140" s="88" t="str">
        <x:v>Chưa chấm</x:v>
      </x:c>
      <x:c r="P140" s="89"/>
      <x:c r="Q140" s="90" t="str">
        <x:f>IF(AND(M140="Chưa chấm",N140="Chưa chấm",O140="Chưa chấm"),"Chưa test",IF(OR(M140="Không đạt",N140="Không đạt",O140="Không đạt"),"Không đạt",IF(AND(OR(M140="Đạt",M140="Không áp dụng"),OR(N140="Đạt",N140="Không áp dụng"),OR(O140="Đạt",O140="Không áp dụng")),"Đạt","Đang test")))</x:f>
        <x:v>Chưa test</x:v>
      </x:c>
      <x:c r="R140" s="88" t="str">
        <x:v>Chưa phân loại</x:v>
      </x:c>
      <x:c r="S140" s="80" t="str"/>
      <x:c r="T140" s="80" t="str"/>
      <x:c r="U140" s="82"/>
      <x:c r="V140" s="80" t="str">
        <x:v>Mới</x:v>
      </x:c>
      <x:c r="W140" s="80" t="str"/>
      <x:c r="X140" s="80" t="str"/>
    </x:row>
    <x:row r="141">
      <x:c r="A141" s="86" t="n">
        <x:v>137</x:v>
      </x:c>
      <x:c r="B141" s="86" t="str">
        <x:v>V39</x:v>
      </x:c>
      <x:c r="C141" s="86" t="str">
        <x:v>Quản lý vùng/đội</x:v>
      </x:c>
      <x:c r="D141" s="77" t="str">
        <x:v>SKU tồn cao/chậm bán/cận date trong phạm vi vùng là gì; khách nào phù hợp để xử lý tồn?</x:v>
      </x:c>
      <x:c r="E141" s="87" t="str">
        <x:v>S28</x:v>
      </x:c>
      <x:c r="F141" s="87" t="str">
        <x:v>Thiếu một phần dữ liệu</x:v>
      </x:c>
      <x:c r="G141" s="77" t="str">
        <x:v>Kiểm phần có dữ liệu; phần thiếu phải được thông báo rõ</x:v>
      </x:c>
      <x:c r="H141" s="80" t="str"/>
      <x:c r="I141" s="81"/>
      <x:c r="J141" s="82" t="n">
        <x:v>46265</x:v>
      </x:c>
      <x:c r="K141" s="80" t="str">
        <x:v>Đối chiếu file kết quả theo câu V39, checker S28.</x:v>
      </x:c>
      <x:c r="L141" s="80" t="str"/>
      <x:c r="M141" s="88" t="str">
        <x:v>Chưa chấm</x:v>
      </x:c>
      <x:c r="N141" s="88" t="str">
        <x:v>Chưa chấm</x:v>
      </x:c>
      <x:c r="O141" s="88" t="str">
        <x:v>Chưa chấm</x:v>
      </x:c>
      <x:c r="P141" s="89"/>
      <x:c r="Q141" s="90" t="str">
        <x:f>IF(AND(M141="Chưa chấm",N141="Chưa chấm",O141="Chưa chấm"),"Chưa test",IF(OR(M141="Không đạt",N141="Không đạt",O141="Không đạt"),"Không đạt",IF(AND(OR(M141="Đạt",M141="Không áp dụng"),OR(N141="Đạt",N141="Không áp dụng"),OR(O141="Đạt",O141="Không áp dụng")),"Đạt","Đang test")))</x:f>
        <x:v>Chưa test</x:v>
      </x:c>
      <x:c r="R141" s="88" t="str">
        <x:v>Chưa phân loại</x:v>
      </x:c>
      <x:c r="S141" s="80" t="str"/>
      <x:c r="T141" s="80" t="str"/>
      <x:c r="U141" s="82"/>
      <x:c r="V141" s="80" t="str">
        <x:v>Mới</x:v>
      </x:c>
      <x:c r="W141" s="80" t="str"/>
      <x:c r="X141" s="80" t="str"/>
    </x:row>
    <x:row r="142">
      <x:c r="A142" s="86" t="n">
        <x:v>138</x:v>
      </x:c>
      <x:c r="B142" s="86" t="str">
        <x:v>V40</x:v>
      </x:c>
      <x:c r="C142" s="86" t="str">
        <x:v>Quản lý vùng/đội</x:v>
      </x:c>
      <x:c r="D142" s="77" t="str">
        <x:v>Cuối tháng, những ngoại lệ nào chưa xử lý: target thiếu, khách chưa gán, đơn chưa hóa đơn, nợ xấu, hàng trả và dữ liệu chưa đồng bộ?</x:v>
      </x:c>
      <x:c r="E142" s="87" t="str">
        <x:v>S76</x:v>
      </x:c>
      <x:c r="F142" s="87" t="str">
        <x:v>Đủ nguồn</x:v>
      </x:c>
      <x:c r="G142" s="77" t="str">
        <x:v>Đối chiếu số liệu, diễn giải và phân quyền</x:v>
      </x:c>
      <x:c r="H142" s="80" t="str"/>
      <x:c r="I142" s="81"/>
      <x:c r="J142" s="82" t="n">
        <x:v>46265</x:v>
      </x:c>
      <x:c r="K142" s="80" t="str">
        <x:v>Đối chiếu file kết quả theo câu V40, checker S76.</x:v>
      </x:c>
      <x:c r="L142" s="80" t="str"/>
      <x:c r="M142" s="88" t="str">
        <x:v>Chưa chấm</x:v>
      </x:c>
      <x:c r="N142" s="88" t="str">
        <x:v>Chưa chấm</x:v>
      </x:c>
      <x:c r="O142" s="88" t="str">
        <x:v>Chưa chấm</x:v>
      </x:c>
      <x:c r="P142" s="89"/>
      <x:c r="Q142" s="90" t="str">
        <x:f>IF(AND(M142="Chưa chấm",N142="Chưa chấm",O142="Chưa chấm"),"Chưa test",IF(OR(M142="Không đạt",N142="Không đạt",O142="Không đạt"),"Không đạt",IF(AND(OR(M142="Đạt",M142="Không áp dụng"),OR(N142="Đạt",N142="Không áp dụng"),OR(O142="Đạt",O142="Không áp dụng")),"Đạt","Đang test")))</x:f>
        <x:v>Chưa test</x:v>
      </x:c>
      <x:c r="R142" s="88" t="str">
        <x:v>Chưa phân loại</x:v>
      </x:c>
      <x:c r="S142" s="80" t="str"/>
      <x:c r="T142" s="80" t="str"/>
      <x:c r="U142" s="82"/>
      <x:c r="V142" s="80" t="str">
        <x:v>Mới</x:v>
      </x:c>
      <x:c r="W142" s="80" t="str"/>
      <x:c r="X142" s="80" t="str"/>
    </x:row>
  </x:sheetData>
  <x:mergeCells>
    <x:mergeCell ref="A1:X1"/>
    <x:mergeCell ref="A2:X2"/>
  </x:mergeCells>
  <x:conditionalFormatting sqref="Q5:Q142">
    <x:cfRule type="containsText" dxfId="0" priority="1" operator="containsText" text="Đạt"/>
    <x:cfRule type="containsText" dxfId="1" priority="2" operator="containsText" text="Không đạt"/>
    <x:cfRule type="containsText" dxfId="2" priority="3" operator="containsText" text="Đang test"/>
  </x:conditionalFormatting>
  <x:conditionalFormatting sqref="R5:R142">
    <x:cfRule type="containsText" dxfId="3" priority="4" operator="containsText" text="Critical"/>
  </x:conditionalFormatting>
  <x:conditionalFormatting sqref="F5:F142">
    <x:cfRule type="containsText" dxfId="4" priority="5" operator="containsText" text="Chưa"/>
  </x:conditionalFormatting>
  <x:dataValidations count="3">
    <x:dataValidation type="list" sqref="M5:O142">
      <x:formula1>"Chưa chấm,Đạt,Không đạt,Không áp dụng"</x:formula1>
    </x:dataValidation>
    <x:dataValidation type="list" sqref="R5:R142">
      <x:formula1>"Chưa phân loại,Critical,High,Medium,Low"</x:formula1>
    </x:dataValidation>
    <x:dataValidation type="list" sqref="V5:V142">
      <x:formula1>"Mới,Đang xử lý,Chờ retest,Đóng,Không áp dụng"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c10cecdca14a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34" hidden="0" customWidth="1"/>
    <x:col min="5" max="5" width="16" hidden="0" customWidth="1"/>
    <x:col min="6" max="6" width="34" hidden="0" customWidth="1"/>
    <x:col min="7" max="7" width="16" hidden="0" customWidth="1"/>
    <x:col min="8" max="8" width="34" hidden="0" customWidth="1"/>
  </x:cols>
  <x:sheetData>
    <x:row r="1" ht="34" customHeight="1">
      <x:c r="A1" s="3" t="str">
        <x:v>HƯỚNG DẪN KIỂM THỬ UAT CHATBOT DƯỢC NAM HÀ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Ngày chốt dữ liệu</x:v>
      </x:c>
      <x:c r="B3" s="16" t="n">
        <x:v>46265</x:v>
      </x:c>
    </x:row>
    <x:row r="4">
      <x:c r="A4" s="12" t="str">
        <x:v>Nguồn đối chiếu</x:v>
      </x:c>
      <x:c r="B4" s="13" t="str">
        <x:v>Bravo + catalog SQL trong repository</x:v>
      </x:c>
    </x:row>
    <x:row r="5">
      <x:c r="A5" s="12" t="str">
        <x:v>Nguyên tắc đạt</x:v>
      </x:c>
      <x:c r="B5" s="13" t="str">
        <x:v>Đúng số liệu, đúng phân quyền, dễ hiểu và không lộ dữ liệu nhạy cảm</x:v>
      </x:c>
    </x:row>
    <x:row r="6">
      <x:c r="A6" s="12" t="str">
        <x:v>Cách tính</x:v>
      </x:c>
      <x:c r="B6" s="13" t="str">
        <x:v>Độ chính xác = Số test Đạt / (Đạt + Không đạt)</x:v>
      </x:c>
    </x:row>
    <x:row r="7">
      <x:c r="A7" s="12" t="str">
        <x:v>Câu thiếu nguồn</x:v>
      </x:c>
      <x:c r="B7" s="13" t="str">
        <x:v>Đạt nếu chatbot thông báo thiếu dữ liệu; Không đạt nếu suy đoán/bịa số</x:v>
      </x:c>
    </x:row>
    <x:row r="8">
      <x:c r="A8" s="12" t="str">
        <x:v>Bằng chứng</x:v>
      </x:c>
      <x:c r="B8" s="13" t="str">
        <x:v>Gắn ảnh chụp hoặc link log cho mọi test Không đạt</x:v>
      </x:c>
    </x:row>
    <x:row r="9">
      <x:c r="A9" s="12" t="str">
        <x:v>Mật khẩu</x:v>
      </x:c>
      <x:c r="B9" s="13" t="str">
        <x:v>Gửi riêng qua kênh bảo mật; không ghi vào workbook này</x:v>
      </x:c>
    </x:row>
    <x:row r="10">
      <x:c r="A10" s="14" t="str">
        <x:v>Quy trình</x:v>
      </x:c>
      <x:c r="B10" s="15" t="str">
        <x:v>MCNA tự test → sửa → DNH retest độc lập → đóng lỗi</x:v>
      </x:c>
    </x:row>
    <x:row r="12">
      <x:c r="A12" s="18" t="str">
        <x:v>Quy tắc chấm một dòng kiểm thử</x:v>
      </x:c>
      <x:c r="B12" s="18"/>
      <x:c r="C12" s="18"/>
      <x:c r="D12" s="18"/>
      <x:c r="E12" s="18"/>
      <x:c r="F12" s="18"/>
      <x:c r="G12" s="18"/>
      <x:c r="H12" s="18"/>
    </x:row>
    <x:row r="13">
      <x:c r="A13" s="30" t="str">
        <x:v>1</x:v>
      </x:c>
      <x:c r="B13" s="31" t="str">
        <x:v>Nhập tài khoản test</x:v>
      </x:c>
      <x:c r="C13" s="31" t="str">
        <x:v>2</x:v>
      </x:c>
      <x:c r="D13" s="31" t="str">
        <x:v>Ghi thời điểm hỏi</x:v>
      </x:c>
      <x:c r="E13" s="31" t="str">
        <x:v>3</x:v>
      </x:c>
      <x:c r="F13" s="31" t="str">
        <x:v>Dán kết quả chatbot</x:v>
      </x:c>
      <x:c r="G13" s="31" t="str">
        <x:v>4</x:v>
      </x:c>
      <x:c r="H13" s="32" t="str">
        <x:v>Chấm ba tiêu chí</x:v>
      </x:c>
    </x:row>
    <x:row r="14">
      <x:c r="A14" s="33" t="str">
        <x:v>5</x:v>
      </x:c>
      <x:c r="B14" s="34" t="str">
        <x:v>Kết quả chung tự tính</x:v>
      </x:c>
      <x:c r="C14" s="34" t="str">
        <x:v>6</x:v>
      </x:c>
      <x:c r="D14" s="34" t="str">
        <x:v>Nếu lỗi: chọn mức độ</x:v>
      </x:c>
      <x:c r="E14" s="34" t="str">
        <x:v>7</x:v>
      </x:c>
      <x:c r="F14" s="34" t="str">
        <x:v>Ghi nguyên nhân/người xử lý</x:v>
      </x:c>
      <x:c r="G14" s="34" t="str">
        <x:v>8</x:v>
      </x:c>
      <x:c r="H14" s="35" t="str">
        <x:v>Gắn bằng chứng</x:v>
      </x:c>
    </x:row>
    <x:row r="15">
      <x:c r="A15" s="36" t="str">
        <x:v>Critical</x:v>
      </x:c>
      <x:c r="B15" s="37" t="str">
        <x:v>Lộ dữ liệu hoặc sai phân quyền</x:v>
      </x:c>
      <x:c r="C15" s="37" t="str">
        <x:v>High</x:v>
      </x:c>
      <x:c r="D15" s="37" t="str">
        <x:v>Sai số liệu/kết luận chính</x:v>
      </x:c>
      <x:c r="E15" s="37" t="str">
        <x:v>Medium</x:v>
      </x:c>
      <x:c r="F15" s="37" t="str">
        <x:v>Thiếu ý hoặc khó hiểu</x:v>
      </x:c>
      <x:c r="G15" s="37" t="str">
        <x:v>Low</x:v>
      </x:c>
      <x:c r="H15" s="38" t="str">
        <x:v>Lỗi trình bày nhỏ</x:v>
      </x:c>
    </x:row>
    <x:row r="16">
      <x:c r="A16" s="39" t="str">
        <x:v>Đạt</x:v>
      </x:c>
      <x:c r="B16" s="40" t="str">
        <x:v>Ba tiêu chí đều Đạt/Không áp dụng</x:v>
      </x:c>
      <x:c r="C16" s="40" t="str">
        <x:v>Không đạt</x:v>
      </x:c>
      <x:c r="D16" s="40" t="str">
        <x:v>Có ít nhất một tiêu chí Không đạt</x:v>
      </x:c>
      <x:c r="E16" s="40" t="str">
        <x:v>Đang test</x:v>
      </x:c>
      <x:c r="F16" s="40" t="str">
        <x:v>Chưa chấm đủ</x:v>
      </x:c>
      <x:c r="G16" s="40" t="str">
        <x:v>Chưa test</x:v>
      </x:c>
      <x:c r="H16" s="41" t="str">
        <x:v>Chưa bắt đầu</x:v>
      </x:c>
    </x:row>
    <x:row r="17">
      <x:c r="A17" s="42" t="str">
        <x:v>Lưu ý</x:v>
      </x:c>
      <x:c r="B17" s="43" t="str">
        <x:v>Không dùng trạng thái ‘Chạy được’ của SQL thay cho kết luận UAT.</x:v>
      </x:c>
      <x:c r="C17" s="43" t="str"/>
      <x:c r="D17" s="43" t="str"/>
      <x:c r="E17" s="43" t="str"/>
      <x:c r="F17" s="43" t="str"/>
      <x:c r="G17" s="43" t="str"/>
      <x:c r="H17" s="44" t="str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62" hidden="0" customWidth="1"/>
  </x:cols>
  <x:sheetData>
    <x:row r="1">
      <x:c r="A1" s="47" t="str">
        <x:v>Chấm tiêu chí</x:v>
      </x:c>
      <x:c r="B1" s="48" t="str">
        <x:v>Mức độ lỗi</x:v>
      </x:c>
      <x:c r="C1" s="48" t="str">
        <x:v>Trạng thái</x:v>
      </x:c>
      <x:c r="D1" s="48" t="str">
        <x:v>Kết quả chung</x:v>
      </x:c>
      <x:c r="E1" s="48" t="str">
        <x:v>Mã nguồn</x:v>
      </x:c>
      <x:c r="F1" s="48" t="str">
        <x:v>Tên hiển thị</x:v>
      </x:c>
      <x:c r="G1" s="49" t="str">
        <x:v>Cách test</x:v>
      </x:c>
    </x:row>
    <x:row r="2">
      <x:c r="A2" s="56" t="str">
        <x:v>Chưa chấm</x:v>
      </x:c>
      <x:c r="B2" s="57" t="str">
        <x:v>Chưa phân loại</x:v>
      </x:c>
      <x:c r="C2" s="57" t="str">
        <x:v>Mới</x:v>
      </x:c>
      <x:c r="D2" s="57" t="str">
        <x:v>Chưa test</x:v>
      </x:c>
      <x:c r="E2" s="57" t="str">
        <x:v>READY</x:v>
      </x:c>
      <x:c r="F2" s="57" t="str">
        <x:v>Đủ nguồn</x:v>
      </x:c>
      <x:c r="G2" s="58" t="str">
        <x:v>Đối chiếu số liệu, diễn giải và phân quyền</x:v>
      </x:c>
    </x:row>
    <x:row r="3">
      <x:c r="A3" s="56" t="str">
        <x:v>Đạt</x:v>
      </x:c>
      <x:c r="B3" s="57" t="str">
        <x:v>Critical</x:v>
      </x:c>
      <x:c r="C3" s="57" t="str">
        <x:v>Đang xử lý</x:v>
      </x:c>
      <x:c r="D3" s="57" t="str">
        <x:v>Đang test</x:v>
      </x:c>
      <x:c r="E3" s="57" t="str">
        <x:v>READY_CURRENT</x:v>
      </x:c>
      <x:c r="F3" s="57" t="str">
        <x:v>Chỉ có số hiện tại</x:v>
      </x:c>
      <x:c r="G3" s="58" t="str">
        <x:v>Chỉ đối chiếu snapshot hiện tại</x:v>
      </x:c>
    </x:row>
    <x:row r="4">
      <x:c r="A4" s="56" t="str">
        <x:v>Không đạt</x:v>
      </x:c>
      <x:c r="B4" s="57" t="str">
        <x:v>High</x:v>
      </x:c>
      <x:c r="C4" s="57" t="str">
        <x:v>Chờ retest</x:v>
      </x:c>
      <x:c r="D4" s="57" t="str">
        <x:v>Đạt</x:v>
      </x:c>
      <x:c r="E4" s="57" t="str">
        <x:v>PARTIAL</x:v>
      </x:c>
      <x:c r="F4" s="57" t="str">
        <x:v>Thiếu một phần dữ liệu</x:v>
      </x:c>
      <x:c r="G4" s="58" t="str">
        <x:v>Kiểm phần có dữ liệu; phần thiếu phải được thông báo rõ</x:v>
      </x:c>
    </x:row>
    <x:row r="5">
      <x:c r="A5" s="56" t="str">
        <x:v>Không áp dụng</x:v>
      </x:c>
      <x:c r="B5" s="57" t="str">
        <x:v>Medium</x:v>
      </x:c>
      <x:c r="C5" s="57" t="str">
        <x:v>Đóng</x:v>
      </x:c>
      <x:c r="D5" s="57" t="str">
        <x:v>Không đạt</x:v>
      </x:c>
      <x:c r="E5" s="57" t="str">
        <x:v>DERIVED</x:v>
      </x:c>
      <x:c r="F5" s="57" t="str">
        <x:v>Cần DNH chốt công thức</x:v>
      </x:c>
      <x:c r="G5" s="58" t="str">
        <x:v>Kiểm cách trình bày; chưa dùng làm chuẩn số trước khi DNH chốt</x:v>
      </x:c>
    </x:row>
    <x:row r="6">
      <x:c r="A6" s="56"/>
      <x:c r="B6" s="57" t="str">
        <x:v>Low</x:v>
      </x:c>
      <x:c r="C6" s="57" t="str">
        <x:v>Không áp dụng</x:v>
      </x:c>
      <x:c r="D6" s="57"/>
      <x:c r="E6" s="57" t="str">
        <x:v>BLOCKED</x:v>
      </x:c>
      <x:c r="F6" s="57" t="str">
        <x:v>Chưa có nguồn dữ liệu</x:v>
      </x:c>
      <x:c r="G6" s="58" t="str">
        <x:v>Kỳ vọng chatbot báo chưa đủ dữ liệu, không suy đoán</x:v>
      </x:c>
    </x:row>
    <x:row r="7">
      <x:c r="A7" s="59"/>
      <x:c r="B7" s="60"/>
      <x:c r="C7" s="60"/>
      <x:c r="D7" s="60"/>
      <x:c r="E7" s="60" t="str">
        <x:v>BLOCKED_HISTORY</x:v>
      </x:c>
      <x:c r="F7" s="60" t="str">
        <x:v>Chưa đủ lịch sử</x:v>
      </x:c>
      <x:c r="G7" s="61" t="str">
        <x:v>Kỳ vọng chatbot báo chưa đủ lịch sử, không suy đoán</x:v>
      </x:c>
    </x:row>
  </x:sheetData>
  <x:pageMargins left="0.7" right="0.7" top="0.75" bottom="0.75" header="0.3" footer="0.3"/>
</x:worksheet>
</file>